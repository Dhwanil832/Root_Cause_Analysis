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ed88a683b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11b2b861cb4e4b39"/>
    <x:sheet xmlns:r="http://schemas.openxmlformats.org/officeDocument/2006/relationships" name="Stage scores" sheetId="2" r:id="Rd433a6a168e24789"/>
    <x:sheet xmlns:r="http://schemas.openxmlformats.org/officeDocument/2006/relationships" name="Criteria" sheetId="3" r:id="R1aea1728e9cf438f"/>
    <x:sheet xmlns:r="http://schemas.openxmlformats.org/officeDocument/2006/relationships" name="Grades" sheetId="4" r:id="R0fd899535c264eae"/>
    <x:sheet xmlns:r="http://schemas.openxmlformats.org/officeDocument/2006/relationships" name="Records" sheetId="5" r:id="Ra70527f52986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sz val="11"/>
      <x:color rgb="FF233247"/>
      <x:name val="Arial"/>
    </x:font>
    <x:font>
      <x:b/>
      <x:sz val="16"/>
      <x:color rgb="FF243A5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A55"/>
      </x:patternFill>
    </x:fill>
    <x:fill>
      <x:patternFill patternType="solid">
        <x:fgColor rgb="FFFFF7D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C2020"/>
      </x:font>
      <x:fill>
        <x:patternFill patternType="solid">
          <x:bgColor rgb="FFFB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3b16758194f9c" /><Relationship Type="http://schemas.openxmlformats.org/officeDocument/2006/relationships/theme" Target="/xl/theme/theme1.xml" Id="R73309a8c554a48f4" /><Relationship Type="http://schemas.openxmlformats.org/officeDocument/2006/relationships/sharedStrings" Target="/xl/sharedStrings.xml" Id="R1807a7363e9c4c74" /><Relationship Type="http://schemas.openxmlformats.org/officeDocument/2006/relationships/worksheet" Target="/xl/worksheets/sheet1.xml" Id="R11b2b861cb4e4b39" /><Relationship Type="http://schemas.openxmlformats.org/officeDocument/2006/relationships/worksheet" Target="/xl/worksheets/sheet2.xml" Id="Rd433a6a168e24789" /><Relationship Type="http://schemas.openxmlformats.org/officeDocument/2006/relationships/worksheet" Target="/xl/worksheets/sheet3.xml" Id="R1aea1728e9cf438f" /><Relationship Type="http://schemas.openxmlformats.org/officeDocument/2006/relationships/worksheet" Target="/xl/worksheets/sheet4.xml" Id="R0fd899535c264eae" /><Relationship Type="http://schemas.openxmlformats.org/officeDocument/2006/relationships/worksheet" Target="/xl/worksheets/sheet5.xml" Id="Ra70527f529864471" /></Relationships>
</file>

<file path=xl/tables/table1.xml><?xml version="1.0" encoding="utf-8"?>
<x:table xmlns:x="http://schemas.openxmlformats.org/spreadsheetml/2006/main" id="3" name="StageResults" displayName="StageResults" ref="A5:I149" headerRowCount="1" totalsRowCount="0" totalsRowShown="0">
  <x:tableColumns count="9">
    <x:tableColumn id="1" name="Stage"/>
    <x:tableColumn id="2" name="Arm"/>
    <x:tableColumn id="3" name="Run"/>
    <x:tableColumn id="4" name="Reviewed / 8"/>
    <x:tableColumn id="5" name="Earned / 8"/>
    <x:tableColumn id="6" name="Coverage"/>
    <x:tableColumn id="7" name="Consistent / 8"/>
    <x:tableColumn id="8" name="Consistent rate"/>
    <x:tableColumn id="9" name="Harness bloc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ozenCriteria" displayName="FrozenCriteria" ref="A5:G101" headerRowCount="1" totalsRowCount="0" totalsRowShown="0">
  <x:tableColumns count="7">
    <x:tableColumn id="1" name="Criterion"/>
    <x:tableColumn id="2" name="Stage"/>
    <x:tableColumn id="3" name="Expected output"/>
    <x:tableColumn id="4" name="Evidence / contract"/>
    <x:tableColumn id="5" name="Do not credit"/>
    <x:tableColumn id="6" name="Clean packet"/>
    <x:tableColumn id="7" name="Maximu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ScoringEntries" displayName="ScoringEntries" ref="A5:M1157" headerRowCount="1" totalsRowCount="0" totalsRowShown="0">
  <x:tableColumns count="13">
    <x:tableColumn id="1" name="Criterion"/>
    <x:tableColumn id="2" name="Stage"/>
    <x:tableColumn id="3" name="Arm"/>
    <x:tableColumn id="4" name="Run"/>
    <x:tableColumn id="5" name="Outcome"/>
    <x:tableColumn id="6" name="Exposure"/>
    <x:tableColumn id="7" name="Output reference"/>
    <x:tableColumn id="8" name="Excerpt or absence reason"/>
    <x:tableColumn id="9" name="Contradiction"/>
    <x:tableColumn id="10" name="Failure origin"/>
    <x:tableColumn id="11" name="Presence point"/>
    <x:tableColumn id="12" name="Consistent point"/>
    <x:tableColumn id="13" name="Reviewed 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Records" displayName="EvidenceRecords" ref="A5:E22" headerRowCount="1" totalsRowCount="0" totalsRowShown="0">
  <x:tableColumns count="5">
    <x:tableColumn id="1" name="ID"/>
    <x:tableColumn id="2" name="Document"/>
    <x:tableColumn id="3" name="Initial input"/>
    <x:tableColumn id="4" name="Sections"/>
    <x:tableColumn id="5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0534ec6e1945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d8dac7725f42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a13e692b764a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287742295f4af5" /></Relationships>
</file>

<file path=xl/worksheets/sheet1.xml><?xml version="1.0" encoding="utf-8"?>
<x:worksheet xmlns:x="http://schemas.openxmlformats.org/spreadsheetml/2006/main">
  <x:sheetPr>
    <x:tabColor rgb="FF243A55"/>
  </x:sheetPr>
  <x:sheetViews>
    <x:sheetView showGridLines="0" workbookViewId="0"/>
  </x:sheetViews>
  <x:sheetFormatPr defaultRowHeight="15"/>
  <x:cols>
    <x:col min="1" max="1" width="13" hidden="0" customWidth="1"/>
    <x:col min="2" max="2" width="4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0" customHeight="1">
      <x:c r="A2" s="3" t="str">
        <x:v>R3 investigation evaluation</x:v>
      </x:c>
      <x:c r="B2" s="2"/>
      <x:c r="C2" s="2"/>
      <x:c r="D2" s="2"/>
      <x:c r="E2" s="2"/>
      <x:c r="F2" s="2"/>
    </x:row>
    <x:row r="3" ht="24" customHeight="1">
      <x:c r="A3" s="2"/>
      <x:c r="B3" s="2"/>
      <x:c r="C3" s="2"/>
      <x:c r="D3" s="2"/>
      <x:c r="E3" s="2"/>
      <x:c r="F3" s="2"/>
    </x:row>
    <x:row r="4" ht="24" customHeight="1">
      <x:c r="A4" s="2" t="str">
        <x:v>Evaluation v1 frozen. Model runs not started. Runtime and adapter qualification remains open.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6" customHeight="1">
      <x:c r="A6" s="7" t="str">
        <x:v>Stage</x:v>
      </x:c>
      <x:c r="B6" s="7" t="str">
        <x:v>Investigation step</x:v>
      </x:c>
      <x:c r="C6" s="7" t="str">
        <x:v>GPT clean</x:v>
      </x:c>
      <x:c r="D6" s="7" t="str">
        <x:v>GPT connected</x:v>
      </x:c>
      <x:c r="E6" s="7" t="str">
        <x:v>Qwen clean</x:v>
      </x:c>
      <x:c r="F6" s="7" t="str">
        <x:v>Qwen connected</x:v>
      </x:c>
    </x:row>
    <x:row r="7" ht="24" customHeight="1">
      <x:c r="A7" s="2" t="str">
        <x:v>S01</x:v>
      </x:c>
      <x:c r="B7" s="2" t="str">
        <x:v>Incident understanding</x:v>
      </x:c>
      <x:c r="C7" s="11" t="str">
        <x:f>IF(COUNTIFS('Stage scores'!$A$6:$A$149,A7,'Stage scores'!$B$6:$B$149,"gpt_clean",'Stage scores'!$D$6:$D$149,8)=3,SUMIFS('Stage scores'!$E$6:$E$149,'Stage scores'!$A$6:$A$149,A7,'Stage scores'!$B$6:$B$149,"gpt_clean")/24,"Pending")</x:f>
        <x:v>Pending</x:v>
      </x:c>
      <x:c r="D7" s="11" t="str">
        <x:f>IF(COUNTIFS('Stage scores'!$A$6:$A$149,A7,'Stage scores'!$B$6:$B$149,"gpt_connected",'Stage scores'!$D$6:$D$149,8)=3,SUMIFS('Stage scores'!$E$6:$E$149,'Stage scores'!$A$6:$A$149,A7,'Stage scores'!$B$6:$B$149,"gpt_connected")/24,"Pending")</x:f>
        <x:v>Pending</x:v>
      </x:c>
      <x:c r="E7" s="11" t="str">
        <x:f>IF(COUNTIFS('Stage scores'!$A$6:$A$149,A7,'Stage scores'!$B$6:$B$149,"qwen_clean",'Stage scores'!$D$6:$D$149,8)=3,SUMIFS('Stage scores'!$E$6:$E$149,'Stage scores'!$A$6:$A$149,A7,'Stage scores'!$B$6:$B$149,"qwen_clean")/24,"Pending")</x:f>
        <x:v>Pending</x:v>
      </x:c>
      <x:c r="F7" s="11" t="str">
        <x:f>IF(COUNTIFS('Stage scores'!$A$6:$A$149,A7,'Stage scores'!$B$6:$B$149,"qwen_connected",'Stage scores'!$D$6:$D$149,8)=3,SUMIFS('Stage scores'!$E$6:$E$149,'Stage scores'!$A$6:$A$149,A7,'Stage scores'!$B$6:$B$149,"qwen_connected")/24,"Pending")</x:f>
        <x:v>Pending</x:v>
      </x:c>
    </x:row>
    <x:row r="8" ht="24" customHeight="1">
      <x:c r="A8" s="2" t="str">
        <x:v>S02</x:v>
      </x:c>
      <x:c r="B8" s="2" t="str">
        <x:v>Mechanism hypotheses</x:v>
      </x:c>
      <x:c r="C8" s="11" t="str">
        <x:f>IF(COUNTIFS('Stage scores'!$A$6:$A$149,A8,'Stage scores'!$B$6:$B$149,"gpt_clean",'Stage scores'!$D$6:$D$149,8)=3,SUMIFS('Stage scores'!$E$6:$E$149,'Stage scores'!$A$6:$A$149,A8,'Stage scores'!$B$6:$B$149,"gpt_clean")/24,"Pending")</x:f>
        <x:v>Pending</x:v>
      </x:c>
      <x:c r="D8" s="11" t="str">
        <x:f>IF(COUNTIFS('Stage scores'!$A$6:$A$149,A8,'Stage scores'!$B$6:$B$149,"gpt_connected",'Stage scores'!$D$6:$D$149,8)=3,SUMIFS('Stage scores'!$E$6:$E$149,'Stage scores'!$A$6:$A$149,A8,'Stage scores'!$B$6:$B$149,"gpt_connected")/24,"Pending")</x:f>
        <x:v>Pending</x:v>
      </x:c>
      <x:c r="E8" s="11" t="str">
        <x:f>IF(COUNTIFS('Stage scores'!$A$6:$A$149,A8,'Stage scores'!$B$6:$B$149,"qwen_clean",'Stage scores'!$D$6:$D$149,8)=3,SUMIFS('Stage scores'!$E$6:$E$149,'Stage scores'!$A$6:$A$149,A8,'Stage scores'!$B$6:$B$149,"qwen_clean")/24,"Pending")</x:f>
        <x:v>Pending</x:v>
      </x:c>
      <x:c r="F8" s="11" t="str">
        <x:f>IF(COUNTIFS('Stage scores'!$A$6:$A$149,A8,'Stage scores'!$B$6:$B$149,"qwen_connected",'Stage scores'!$D$6:$D$149,8)=3,SUMIFS('Stage scores'!$E$6:$E$149,'Stage scores'!$A$6:$A$149,A8,'Stage scores'!$B$6:$B$149,"qwen_connected")/24,"Pending")</x:f>
        <x:v>Pending</x:v>
      </x:c>
    </x:row>
    <x:row r="9" ht="24" customHeight="1">
      <x:c r="A9" s="2" t="str">
        <x:v>S03</x:v>
      </x:c>
      <x:c r="B9" s="2" t="str">
        <x:v>Hypothesis and request review</x:v>
      </x:c>
      <x:c r="C9" s="11" t="str">
        <x:f>IF(COUNTIFS('Stage scores'!$A$6:$A$149,A9,'Stage scores'!$B$6:$B$149,"gpt_clean",'Stage scores'!$D$6:$D$149,8)=3,SUMIFS('Stage scores'!$E$6:$E$149,'Stage scores'!$A$6:$A$149,A9,'Stage scores'!$B$6:$B$149,"gpt_clean")/24,"Pending")</x:f>
        <x:v>Pending</x:v>
      </x:c>
      <x:c r="D9" s="11" t="str">
        <x:f>IF(COUNTIFS('Stage scores'!$A$6:$A$149,A9,'Stage scores'!$B$6:$B$149,"gpt_connected",'Stage scores'!$D$6:$D$149,8)=3,SUMIFS('Stage scores'!$E$6:$E$149,'Stage scores'!$A$6:$A$149,A9,'Stage scores'!$B$6:$B$149,"gpt_connected")/24,"Pending")</x:f>
        <x:v>Pending</x:v>
      </x:c>
      <x:c r="E9" s="11" t="str">
        <x:f>IF(COUNTIFS('Stage scores'!$A$6:$A$149,A9,'Stage scores'!$B$6:$B$149,"qwen_clean",'Stage scores'!$D$6:$D$149,8)=3,SUMIFS('Stage scores'!$E$6:$E$149,'Stage scores'!$A$6:$A$149,A9,'Stage scores'!$B$6:$B$149,"qwen_clean")/24,"Pending")</x:f>
        <x:v>Pending</x:v>
      </x:c>
      <x:c r="F9" s="11" t="str">
        <x:f>IF(COUNTIFS('Stage scores'!$A$6:$A$149,A9,'Stage scores'!$B$6:$B$149,"qwen_connected",'Stage scores'!$D$6:$D$149,8)=3,SUMIFS('Stage scores'!$E$6:$E$149,'Stage scores'!$A$6:$A$149,A9,'Stage scores'!$B$6:$B$149,"qwen_connected")/24,"Pending")</x:f>
        <x:v>Pending</x:v>
      </x:c>
    </x:row>
    <x:row r="10" ht="24" customHeight="1">
      <x:c r="A10" s="2" t="str">
        <x:v>S04</x:v>
      </x:c>
      <x:c r="B10" s="2" t="str">
        <x:v>Search and request coverage</x:v>
      </x:c>
      <x:c r="C10" s="11" t="str">
        <x:f>IF(COUNTIFS('Stage scores'!$A$6:$A$149,A10,'Stage scores'!$B$6:$B$149,"gpt_clean",'Stage scores'!$D$6:$D$149,8)=3,SUMIFS('Stage scores'!$E$6:$E$149,'Stage scores'!$A$6:$A$149,A10,'Stage scores'!$B$6:$B$149,"gpt_clean")/24,"Pending")</x:f>
        <x:v>Pending</x:v>
      </x:c>
      <x:c r="D10" s="11" t="str">
        <x:f>IF(COUNTIFS('Stage scores'!$A$6:$A$149,A10,'Stage scores'!$B$6:$B$149,"gpt_connected",'Stage scores'!$D$6:$D$149,8)=3,SUMIFS('Stage scores'!$E$6:$E$149,'Stage scores'!$A$6:$A$149,A10,'Stage scores'!$B$6:$B$149,"gpt_connected")/24,"Pending")</x:f>
        <x:v>Pending</x:v>
      </x:c>
      <x:c r="E10" s="11" t="str">
        <x:f>IF(COUNTIFS('Stage scores'!$A$6:$A$149,A10,'Stage scores'!$B$6:$B$149,"qwen_clean",'Stage scores'!$D$6:$D$149,8)=3,SUMIFS('Stage scores'!$E$6:$E$149,'Stage scores'!$A$6:$A$149,A10,'Stage scores'!$B$6:$B$149,"qwen_clean")/24,"Pending")</x:f>
        <x:v>Pending</x:v>
      </x:c>
      <x:c r="F10" s="11" t="str">
        <x:f>IF(COUNTIFS('Stage scores'!$A$6:$A$149,A10,'Stage scores'!$B$6:$B$149,"qwen_connected",'Stage scores'!$D$6:$D$149,8)=3,SUMIFS('Stage scores'!$E$6:$E$149,'Stage scores'!$A$6:$A$149,A10,'Stage scores'!$B$6:$B$149,"qwen_connected")/24,"Pending")</x:f>
        <x:v>Pending</x:v>
      </x:c>
    </x:row>
    <x:row r="11" ht="24" customHeight="1">
      <x:c r="A11" s="2" t="str">
        <x:v>S05</x:v>
      </x:c>
      <x:c r="B11" s="2" t="str">
        <x:v>Motion and witness assessment</x:v>
      </x:c>
      <x:c r="C11" s="11" t="str">
        <x:f>IF(COUNTIFS('Stage scores'!$A$6:$A$149,A11,'Stage scores'!$B$6:$B$149,"gpt_clean",'Stage scores'!$D$6:$D$149,8)=3,SUMIFS('Stage scores'!$E$6:$E$149,'Stage scores'!$A$6:$A$149,A11,'Stage scores'!$B$6:$B$149,"gpt_clean")/24,"Pending")</x:f>
        <x:v>Pending</x:v>
      </x:c>
      <x:c r="D11" s="11" t="str">
        <x:f>IF(COUNTIFS('Stage scores'!$A$6:$A$149,A11,'Stage scores'!$B$6:$B$149,"gpt_connected",'Stage scores'!$D$6:$D$149,8)=3,SUMIFS('Stage scores'!$E$6:$E$149,'Stage scores'!$A$6:$A$149,A11,'Stage scores'!$B$6:$B$149,"gpt_connected")/24,"Pending")</x:f>
        <x:v>Pending</x:v>
      </x:c>
      <x:c r="E11" s="11" t="str">
        <x:f>IF(COUNTIFS('Stage scores'!$A$6:$A$149,A11,'Stage scores'!$B$6:$B$149,"qwen_clean",'Stage scores'!$D$6:$D$149,8)=3,SUMIFS('Stage scores'!$E$6:$E$149,'Stage scores'!$A$6:$A$149,A11,'Stage scores'!$B$6:$B$149,"qwen_clean")/24,"Pending")</x:f>
        <x:v>Pending</x:v>
      </x:c>
      <x:c r="F11" s="11" t="str">
        <x:f>IF(COUNTIFS('Stage scores'!$A$6:$A$149,A11,'Stage scores'!$B$6:$B$149,"qwen_connected",'Stage scores'!$D$6:$D$149,8)=3,SUMIFS('Stage scores'!$E$6:$E$149,'Stage scores'!$A$6:$A$149,A11,'Stage scores'!$B$6:$B$149,"qwen_connected")/24,"Pending")</x:f>
        <x:v>Pending</x:v>
      </x:c>
    </x:row>
    <x:row r="12" ht="24" customHeight="1">
      <x:c r="A12" s="2" t="str">
        <x:v>S06</x:v>
      </x:c>
      <x:c r="B12" s="2" t="str">
        <x:v>Hydraulics and execution assessment</x:v>
      </x:c>
      <x:c r="C12" s="11" t="str">
        <x:f>IF(COUNTIFS('Stage scores'!$A$6:$A$149,A12,'Stage scores'!$B$6:$B$149,"gpt_clean",'Stage scores'!$D$6:$D$149,8)=3,SUMIFS('Stage scores'!$E$6:$E$149,'Stage scores'!$A$6:$A$149,A12,'Stage scores'!$B$6:$B$149,"gpt_clean")/24,"Pending")</x:f>
        <x:v>Pending</x:v>
      </x:c>
      <x:c r="D12" s="11" t="str">
        <x:f>IF(COUNTIFS('Stage scores'!$A$6:$A$149,A12,'Stage scores'!$B$6:$B$149,"gpt_connected",'Stage scores'!$D$6:$D$149,8)=3,SUMIFS('Stage scores'!$E$6:$E$149,'Stage scores'!$A$6:$A$149,A12,'Stage scores'!$B$6:$B$149,"gpt_connected")/24,"Pending")</x:f>
        <x:v>Pending</x:v>
      </x:c>
      <x:c r="E12" s="11" t="str">
        <x:f>IF(COUNTIFS('Stage scores'!$A$6:$A$149,A12,'Stage scores'!$B$6:$B$149,"qwen_clean",'Stage scores'!$D$6:$D$149,8)=3,SUMIFS('Stage scores'!$E$6:$E$149,'Stage scores'!$A$6:$A$149,A12,'Stage scores'!$B$6:$B$149,"qwen_clean")/24,"Pending")</x:f>
        <x:v>Pending</x:v>
      </x:c>
      <x:c r="F12" s="11" t="str">
        <x:f>IF(COUNTIFS('Stage scores'!$A$6:$A$149,A12,'Stage scores'!$B$6:$B$149,"qwen_connected",'Stage scores'!$D$6:$D$149,8)=3,SUMIFS('Stage scores'!$E$6:$E$149,'Stage scores'!$A$6:$A$149,A12,'Stage scores'!$B$6:$B$149,"qwen_connected")/24,"Pending")</x:f>
        <x:v>Pending</x:v>
      </x:c>
    </x:row>
    <x:row r="13" ht="24" customHeight="1">
      <x:c r="A13" s="2" t="str">
        <x:v>S07</x:v>
      </x:c>
      <x:c r="B13" s="2" t="str">
        <x:v>Physical causal board</x:v>
      </x:c>
      <x:c r="C13" s="11" t="str">
        <x:f>IF(COUNTIFS('Stage scores'!$A$6:$A$149,A13,'Stage scores'!$B$6:$B$149,"gpt_clean",'Stage scores'!$D$6:$D$149,8)=3,SUMIFS('Stage scores'!$E$6:$E$149,'Stage scores'!$A$6:$A$149,A13,'Stage scores'!$B$6:$B$149,"gpt_clean")/24,"Pending")</x:f>
        <x:v>Pending</x:v>
      </x:c>
      <x:c r="D13" s="11" t="str">
        <x:f>IF(COUNTIFS('Stage scores'!$A$6:$A$149,A13,'Stage scores'!$B$6:$B$149,"gpt_connected",'Stage scores'!$D$6:$D$149,8)=3,SUMIFS('Stage scores'!$E$6:$E$149,'Stage scores'!$A$6:$A$149,A13,'Stage scores'!$B$6:$B$149,"gpt_connected")/24,"Pending")</x:f>
        <x:v>Pending</x:v>
      </x:c>
      <x:c r="E13" s="11" t="str">
        <x:f>IF(COUNTIFS('Stage scores'!$A$6:$A$149,A13,'Stage scores'!$B$6:$B$149,"qwen_clean",'Stage scores'!$D$6:$D$149,8)=3,SUMIFS('Stage scores'!$E$6:$E$149,'Stage scores'!$A$6:$A$149,A13,'Stage scores'!$B$6:$B$149,"qwen_clean")/24,"Pending")</x:f>
        <x:v>Pending</x:v>
      </x:c>
      <x:c r="F13" s="11" t="str">
        <x:f>IF(COUNTIFS('Stage scores'!$A$6:$A$149,A13,'Stage scores'!$B$6:$B$149,"qwen_connected",'Stage scores'!$D$6:$D$149,8)=3,SUMIFS('Stage scores'!$E$6:$E$149,'Stage scores'!$A$6:$A$149,A13,'Stage scores'!$B$6:$B$149,"qwen_connected")/24,"Pending")</x:f>
        <x:v>Pending</x:v>
      </x:c>
    </x:row>
    <x:row r="14" ht="24" customHeight="1">
      <x:c r="A14" s="2" t="str">
        <x:v>S08</x:v>
      </x:c>
      <x:c r="B14" s="2" t="str">
        <x:v>Upstream hypotheses</x:v>
      </x:c>
      <x:c r="C14" s="11" t="str">
        <x:f>IF(COUNTIFS('Stage scores'!$A$6:$A$149,A14,'Stage scores'!$B$6:$B$149,"gpt_clean",'Stage scores'!$D$6:$D$149,8)=3,SUMIFS('Stage scores'!$E$6:$E$149,'Stage scores'!$A$6:$A$149,A14,'Stage scores'!$B$6:$B$149,"gpt_clean")/24,"Pending")</x:f>
        <x:v>Pending</x:v>
      </x:c>
      <x:c r="D14" s="11" t="str">
        <x:f>IF(COUNTIFS('Stage scores'!$A$6:$A$149,A14,'Stage scores'!$B$6:$B$149,"gpt_connected",'Stage scores'!$D$6:$D$149,8)=3,SUMIFS('Stage scores'!$E$6:$E$149,'Stage scores'!$A$6:$A$149,A14,'Stage scores'!$B$6:$B$149,"gpt_connected")/24,"Pending")</x:f>
        <x:v>Pending</x:v>
      </x:c>
      <x:c r="E14" s="11" t="str">
        <x:f>IF(COUNTIFS('Stage scores'!$A$6:$A$149,A14,'Stage scores'!$B$6:$B$149,"qwen_clean",'Stage scores'!$D$6:$D$149,8)=3,SUMIFS('Stage scores'!$E$6:$E$149,'Stage scores'!$A$6:$A$149,A14,'Stage scores'!$B$6:$B$149,"qwen_clean")/24,"Pending")</x:f>
        <x:v>Pending</x:v>
      </x:c>
      <x:c r="F14" s="11" t="str">
        <x:f>IF(COUNTIFS('Stage scores'!$A$6:$A$149,A14,'Stage scores'!$B$6:$B$149,"qwen_connected",'Stage scores'!$D$6:$D$149,8)=3,SUMIFS('Stage scores'!$E$6:$E$149,'Stage scores'!$A$6:$A$149,A14,'Stage scores'!$B$6:$B$149,"qwen_connected")/24,"Pending")</x:f>
        <x:v>Pending</x:v>
      </x:c>
    </x:row>
    <x:row r="15" ht="24" customHeight="1">
      <x:c r="A15" s="2" t="str">
        <x:v>S09</x:v>
      </x:c>
      <x:c r="B15" s="2" t="str">
        <x:v>Origin and availability evidence</x:v>
      </x:c>
      <x:c r="C15" s="11" t="str">
        <x:f>IF(COUNTIFS('Stage scores'!$A$6:$A$149,A15,'Stage scores'!$B$6:$B$149,"gpt_clean",'Stage scores'!$D$6:$D$149,8)=3,SUMIFS('Stage scores'!$E$6:$E$149,'Stage scores'!$A$6:$A$149,A15,'Stage scores'!$B$6:$B$149,"gpt_clean")/24,"Pending")</x:f>
        <x:v>Pending</x:v>
      </x:c>
      <x:c r="D15" s="11" t="str">
        <x:f>IF(COUNTIFS('Stage scores'!$A$6:$A$149,A15,'Stage scores'!$B$6:$B$149,"gpt_connected",'Stage scores'!$D$6:$D$149,8)=3,SUMIFS('Stage scores'!$E$6:$E$149,'Stage scores'!$A$6:$A$149,A15,'Stage scores'!$B$6:$B$149,"gpt_connected")/24,"Pending")</x:f>
        <x:v>Pending</x:v>
      </x:c>
      <x:c r="E15" s="11" t="str">
        <x:f>IF(COUNTIFS('Stage scores'!$A$6:$A$149,A15,'Stage scores'!$B$6:$B$149,"qwen_clean",'Stage scores'!$D$6:$D$149,8)=3,SUMIFS('Stage scores'!$E$6:$E$149,'Stage scores'!$A$6:$A$149,A15,'Stage scores'!$B$6:$B$149,"qwen_clean")/24,"Pending")</x:f>
        <x:v>Pending</x:v>
      </x:c>
      <x:c r="F15" s="11" t="str">
        <x:f>IF(COUNTIFS('Stage scores'!$A$6:$A$149,A15,'Stage scores'!$B$6:$B$149,"qwen_connected",'Stage scores'!$D$6:$D$149,8)=3,SUMIFS('Stage scores'!$E$6:$E$149,'Stage scores'!$A$6:$A$149,A15,'Stage scores'!$B$6:$B$149,"qwen_connected")/24,"Pending")</x:f>
        <x:v>Pending</x:v>
      </x:c>
    </x:row>
    <x:row r="16" ht="24" customHeight="1">
      <x:c r="A16" s="2" t="str">
        <x:v>S10</x:v>
      </x:c>
      <x:c r="B16" s="2" t="str">
        <x:v>Boundaries and scoped negatives</x:v>
      </x:c>
      <x:c r="C16" s="11" t="str">
        <x:f>IF(COUNTIFS('Stage scores'!$A$6:$A$149,A16,'Stage scores'!$B$6:$B$149,"gpt_clean",'Stage scores'!$D$6:$D$149,8)=3,SUMIFS('Stage scores'!$E$6:$E$149,'Stage scores'!$A$6:$A$149,A16,'Stage scores'!$B$6:$B$149,"gpt_clean")/24,"Pending")</x:f>
        <x:v>Pending</x:v>
      </x:c>
      <x:c r="D16" s="11" t="str">
        <x:f>IF(COUNTIFS('Stage scores'!$A$6:$A$149,A16,'Stage scores'!$B$6:$B$149,"gpt_connected",'Stage scores'!$D$6:$D$149,8)=3,SUMIFS('Stage scores'!$E$6:$E$149,'Stage scores'!$A$6:$A$149,A16,'Stage scores'!$B$6:$B$149,"gpt_connected")/24,"Pending")</x:f>
        <x:v>Pending</x:v>
      </x:c>
      <x:c r="E16" s="11" t="str">
        <x:f>IF(COUNTIFS('Stage scores'!$A$6:$A$149,A16,'Stage scores'!$B$6:$B$149,"qwen_clean",'Stage scores'!$D$6:$D$149,8)=3,SUMIFS('Stage scores'!$E$6:$E$149,'Stage scores'!$A$6:$A$149,A16,'Stage scores'!$B$6:$B$149,"qwen_clean")/24,"Pending")</x:f>
        <x:v>Pending</x:v>
      </x:c>
      <x:c r="F16" s="11" t="str">
        <x:f>IF(COUNTIFS('Stage scores'!$A$6:$A$149,A16,'Stage scores'!$B$6:$B$149,"qwen_connected",'Stage scores'!$D$6:$D$149,8)=3,SUMIFS('Stage scores'!$E$6:$E$149,'Stage scores'!$A$6:$A$149,A16,'Stage scores'!$B$6:$B$149,"qwen_connected")/24,"Pending")</x:f>
        <x:v>Pending</x:v>
      </x:c>
    </x:row>
    <x:row r="17" ht="24" customHeight="1">
      <x:c r="A17" s="2" t="str">
        <x:v>S11</x:v>
      </x:c>
      <x:c r="B17" s="2" t="str">
        <x:v>Requests and stopping review</x:v>
      </x:c>
      <x:c r="C17" s="11" t="str">
        <x:f>IF(COUNTIFS('Stage scores'!$A$6:$A$149,A17,'Stage scores'!$B$6:$B$149,"gpt_clean",'Stage scores'!$D$6:$D$149,8)=3,SUMIFS('Stage scores'!$E$6:$E$149,'Stage scores'!$A$6:$A$149,A17,'Stage scores'!$B$6:$B$149,"gpt_clean")/24,"Pending")</x:f>
        <x:v>Pending</x:v>
      </x:c>
      <x:c r="D17" s="11" t="str">
        <x:f>IF(COUNTIFS('Stage scores'!$A$6:$A$149,A17,'Stage scores'!$B$6:$B$149,"gpt_connected",'Stage scores'!$D$6:$D$149,8)=3,SUMIFS('Stage scores'!$E$6:$E$149,'Stage scores'!$A$6:$A$149,A17,'Stage scores'!$B$6:$B$149,"gpt_connected")/24,"Pending")</x:f>
        <x:v>Pending</x:v>
      </x:c>
      <x:c r="E17" s="11" t="str">
        <x:f>IF(COUNTIFS('Stage scores'!$A$6:$A$149,A17,'Stage scores'!$B$6:$B$149,"qwen_clean",'Stage scores'!$D$6:$D$149,8)=3,SUMIFS('Stage scores'!$E$6:$E$149,'Stage scores'!$A$6:$A$149,A17,'Stage scores'!$B$6:$B$149,"qwen_clean")/24,"Pending")</x:f>
        <x:v>Pending</x:v>
      </x:c>
      <x:c r="F17" s="11" t="str">
        <x:f>IF(COUNTIFS('Stage scores'!$A$6:$A$149,A17,'Stage scores'!$B$6:$B$149,"qwen_connected",'Stage scores'!$D$6:$D$149,8)=3,SUMIFS('Stage scores'!$E$6:$E$149,'Stage scores'!$A$6:$A$149,A17,'Stage scores'!$B$6:$B$149,"qwen_connected")/24,"Pending")</x:f>
        <x:v>Pending</x:v>
      </x:c>
    </x:row>
    <x:row r="18" ht="24" customHeight="1">
      <x:c r="A18" s="2" t="str">
        <x:v>S12</x:v>
      </x:c>
      <x:c r="B18" s="2" t="str">
        <x:v>Final retained RCA</x:v>
      </x:c>
      <x:c r="C18" s="11" t="str">
        <x:f>IF(COUNTIFS('Stage scores'!$A$6:$A$149,A18,'Stage scores'!$B$6:$B$149,"gpt_clean",'Stage scores'!$D$6:$D$149,8)=3,SUMIFS('Stage scores'!$E$6:$E$149,'Stage scores'!$A$6:$A$149,A18,'Stage scores'!$B$6:$B$149,"gpt_clean")/24,"Pending")</x:f>
        <x:v>Pending</x:v>
      </x:c>
      <x:c r="D18" s="11" t="str">
        <x:f>IF(COUNTIFS('Stage scores'!$A$6:$A$149,A18,'Stage scores'!$B$6:$B$149,"gpt_connected",'Stage scores'!$D$6:$D$149,8)=3,SUMIFS('Stage scores'!$E$6:$E$149,'Stage scores'!$A$6:$A$149,A18,'Stage scores'!$B$6:$B$149,"gpt_connected")/24,"Pending")</x:f>
        <x:v>Pending</x:v>
      </x:c>
      <x:c r="E18" s="11" t="str">
        <x:f>IF(COUNTIFS('Stage scores'!$A$6:$A$149,A18,'Stage scores'!$B$6:$B$149,"qwen_clean",'Stage scores'!$D$6:$D$149,8)=3,SUMIFS('Stage scores'!$E$6:$E$149,'Stage scores'!$A$6:$A$149,A18,'Stage scores'!$B$6:$B$149,"qwen_clean")/24,"Pending")</x:f>
        <x:v>Pending</x:v>
      </x:c>
      <x:c r="F18" s="11" t="str">
        <x:f>IF(COUNTIFS('Stage scores'!$A$6:$A$149,A18,'Stage scores'!$B$6:$B$149,"qwen_connected",'Stage scores'!$D$6:$D$149,8)=3,SUMIFS('Stage scores'!$E$6:$E$149,'Stage scores'!$A$6:$A$149,A18,'Stage scores'!$B$6:$B$149,"qwen_connected")/24,"Pending")</x:f>
        <x:v>Pending</x:v>
      </x:c>
    </x:row>
    <x:row r="19" ht="24" customHeight="1">
      <x:c r="A19" s="2"/>
      <x:c r="B19" s="2"/>
      <x:c r="C19" s="2"/>
      <x:c r="D19" s="2"/>
      <x:c r="E19" s="2"/>
      <x:c r="F19" s="2"/>
    </x:row>
    <x:row r="20" ht="24" customHeight="1">
      <x:c r="A20" s="2" t="str">
        <x:v>Stage rates pool 3 runs: earned points / 24. Each run also has an individual 0–8 score on Stage scores.</x:v>
      </x:c>
      <x:c r="B20" s="2"/>
      <x:c r="C20" s="2"/>
      <x:c r="D20" s="2"/>
      <x:c r="E20" s="2"/>
      <x:c r="F20" s="2"/>
    </x:row>
    <x:row r="21" ht="24" customHeight="1">
      <x:c r="A21" s="2"/>
      <x:c r="B21" s="2"/>
      <x:c r="C21" s="2"/>
      <x:c r="D21" s="2"/>
      <x:c r="E21" s="2"/>
      <x:c r="F21" s="2"/>
    </x:row>
    <x:row r="22" ht="24" customHeight="1">
      <x:c r="A22" s="2"/>
      <x:c r="B22" s="2"/>
      <x:c r="C22" s="2"/>
      <x:c r="D22" s="2"/>
      <x:c r="E22" s="2"/>
      <x:c r="F22" s="2"/>
    </x:row>
    <x:row r="23" ht="36" customHeight="1">
      <x:c r="A23" s="7" t="str">
        <x:v>Model</x:v>
      </x:c>
      <x:c r="B23" s="7" t="str">
        <x:v>Input mode</x:v>
      </x:c>
      <x:c r="C23" s="7" t="str">
        <x:v>Reviewed checks</x:v>
      </x:c>
      <x:c r="D23" s="7" t="str">
        <x:v>Coverage</x:v>
      </x:c>
      <x:c r="E23" s="7" t="str">
        <x:v>Consistent rate</x:v>
      </x:c>
      <x:c r="F23" s="7" t="str">
        <x:v>Planned checks</x:v>
      </x:c>
    </x:row>
    <x:row r="24" ht="24" customHeight="1">
      <x:c r="A24" s="2" t="str">
        <x:v>GPT-5.5</x:v>
      </x:c>
      <x:c r="B24" s="2" t="str">
        <x:v>Clean inputs</x:v>
      </x:c>
      <x:c r="C24" s="2" t="n">
        <x:f>SUMIFS('Stage scores'!$D$6:$D$149,'Stage scores'!$B$6:$B$149,"gpt_clean")</x:f>
        <x:v>0</x:v>
      </x:c>
      <x:c r="D24" s="11" t="str">
        <x:f>IF(C24=F24,SUMIFS('Stage scores'!$E$6:$E$149,'Stage scores'!$B$6:$B$149,"gpt_clean")/F24,"Pending")</x:f>
        <x:v>Pending</x:v>
      </x:c>
      <x:c r="E24" s="11" t="str">
        <x:f>IF(C24=F24,SUMIFS('Stage scores'!$G$6:$G$149,'Stage scores'!$B$6:$B$149,"gpt_clean")/F24,"Pending")</x:f>
        <x:v>Pending</x:v>
      </x:c>
      <x:c r="F24" s="2" t="n">
        <x:f>96*3</x:f>
        <x:v>288</x:v>
      </x:c>
    </x:row>
    <x:row r="25" ht="24" customHeight="1">
      <x:c r="A25" s="2" t="str">
        <x:v>GPT-5.5</x:v>
      </x:c>
      <x:c r="B25" s="2" t="str">
        <x:v>Previous outputs</x:v>
      </x:c>
      <x:c r="C25" s="2" t="n">
        <x:f>SUMIFS('Stage scores'!$D$6:$D$149,'Stage scores'!$B$6:$B$149,"gpt_connected")</x:f>
        <x:v>0</x:v>
      </x:c>
      <x:c r="D25" s="11" t="str">
        <x:f>IF(C25=F25,SUMIFS('Stage scores'!$E$6:$E$149,'Stage scores'!$B$6:$B$149,"gpt_connected")/F25,"Pending")</x:f>
        <x:v>Pending</x:v>
      </x:c>
      <x:c r="E25" s="11" t="str">
        <x:f>IF(C25=F25,SUMIFS('Stage scores'!$G$6:$G$149,'Stage scores'!$B$6:$B$149,"gpt_connected")/F25,"Pending")</x:f>
        <x:v>Pending</x:v>
      </x:c>
      <x:c r="F25" s="2" t="n">
        <x:f>96*3</x:f>
        <x:v>288</x:v>
      </x:c>
    </x:row>
    <x:row r="26" ht="24" customHeight="1">
      <x:c r="A26" s="2" t="str">
        <x:v>Qwen</x:v>
      </x:c>
      <x:c r="B26" s="2" t="str">
        <x:v>Clean inputs</x:v>
      </x:c>
      <x:c r="C26" s="2" t="n">
        <x:f>SUMIFS('Stage scores'!$D$6:$D$149,'Stage scores'!$B$6:$B$149,"qwen_clean")</x:f>
        <x:v>0</x:v>
      </x:c>
      <x:c r="D26" s="11" t="str">
        <x:f>IF(C26=F26,SUMIFS('Stage scores'!$E$6:$E$149,'Stage scores'!$B$6:$B$149,"qwen_clean")/F26,"Pending")</x:f>
        <x:v>Pending</x:v>
      </x:c>
      <x:c r="E26" s="11" t="str">
        <x:f>IF(C26=F26,SUMIFS('Stage scores'!$G$6:$G$149,'Stage scores'!$B$6:$B$149,"qwen_clean")/F26,"Pending")</x:f>
        <x:v>Pending</x:v>
      </x:c>
      <x:c r="F26" s="2" t="n">
        <x:f>96*3</x:f>
        <x:v>288</x:v>
      </x:c>
    </x:row>
    <x:row r="27" ht="24" customHeight="1">
      <x:c r="A27" s="2" t="str">
        <x:v>Qwen</x:v>
      </x:c>
      <x:c r="B27" s="2" t="str">
        <x:v>Previous outputs</x:v>
      </x:c>
      <x:c r="C27" s="2" t="n">
        <x:f>SUMIFS('Stage scores'!$D$6:$D$149,'Stage scores'!$B$6:$B$149,"qwen_connected")</x:f>
        <x:v>0</x:v>
      </x:c>
      <x:c r="D27" s="11" t="str">
        <x:f>IF(C27=F27,SUMIFS('Stage scores'!$E$6:$E$149,'Stage scores'!$B$6:$B$149,"qwen_connected")/F27,"Pending")</x:f>
        <x:v>Pending</x:v>
      </x:c>
      <x:c r="E27" s="11" t="str">
        <x:f>IF(C27=F27,SUMIFS('Stage scores'!$G$6:$G$149,'Stage scores'!$B$6:$B$149,"qwen_connected")/F27,"Pending")</x:f>
        <x:v>Pending</x:v>
      </x:c>
      <x:c r="F27" s="2" t="n">
        <x:f>96*3</x:f>
        <x:v>288</x:v>
      </x:c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 t="str">
        <x:v>Grades: amber cells require reviewer input. No grade is inferred from a blank cell.</x:v>
      </x:c>
      <x:c r="B30" s="2"/>
      <x:c r="C30" s="2"/>
      <x:c r="D30" s="2"/>
      <x:c r="E30" s="2"/>
      <x:c r="F30" s="2"/>
    </x:row>
    <x:row r="31" ht="24" customHeight="1">
      <x:c r="A31" s="2"/>
      <x:c r="B31" s="2"/>
      <x:c r="C31" s="2"/>
      <x:c r="D31" s="2"/>
      <x:c r="E31" s="2"/>
      <x:c r="F31" s="2"/>
    </x:row>
    <x:row r="32" ht="24" customHeight="1">
      <x:c r="A32" s="2" t="str">
        <x:v>Presence earns 1 even if contradicted elsewhere; consistent coverage also requires no material contradiction.</x:v>
      </x:c>
      <x:c r="B32" s="2"/>
      <x:c r="C32" s="2"/>
      <x:c r="D32" s="2"/>
      <x:c r="E32" s="2"/>
      <x:c r="F32" s="2"/>
    </x:row>
    <x:row r="33" ht="24" customHeight="1">
      <x:c r="A33" s="2"/>
      <x:c r="B33" s="2"/>
      <x:c r="C33" s="2"/>
      <x:c r="D33" s="2"/>
      <x:c r="E33" s="2"/>
      <x:c r="F33" s="2"/>
    </x:row>
    <x:row r="34" ht="24" customHeight="1">
      <x:c r="A34" s="2" t="str">
        <x:v>Model-caused unvisited stages score 0. Harness-blocked stages prevent a completed comparable score.</x:v>
      </x:c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 t="str">
        <x:v>See PROTOCOL.md for stage boundaries, custody, repetition policy and failure attribution.</x:v>
      </x:c>
      <x:c r="B36" s="2"/>
      <x:c r="C36" s="2"/>
      <x:c r="D36" s="2"/>
      <x:c r="E36" s="2"/>
      <x:c r="F36" s="2"/>
    </x:row>
    <x:row r="37" ht="24" customHeight="1">
      <x:c r="A37" s="2"/>
      <x:c r="B37" s="2"/>
      <x:c r="C37" s="2"/>
      <x:c r="D37" s="2"/>
      <x:c r="E37" s="2"/>
      <x:c r="F37" s="2"/>
    </x:row>
    <x:row r="38" ht="24" customHeight="1">
      <x:c r="A38" s="2"/>
      <x:c r="B38" s="2"/>
      <x:c r="C38" s="2"/>
      <x:c r="D38" s="2"/>
      <x:c r="E38" s="2"/>
      <x:c r="F3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9" hidden="0" customWidth="1"/>
    <x:col min="4" max="4" width="17" hidden="0" customWidth="1"/>
    <x:col min="5" max="5" width="16" hidden="0" customWidth="1"/>
    <x:col min="6" max="6" width="16" hidden="0" customWidth="1"/>
    <x:col min="7" max="7" width="20" hidden="0" customWidth="1"/>
    <x:col min="8" max="8" width="19" hidden="0" customWidth="1"/>
    <x:col min="9" max="9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Stage scores by model, mode and run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 t="str">
        <x:v>A score appears only after all eight criteria have complete review fields. Harness blocks remain unavailable.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6" customHeight="1">
      <x:c r="A5" s="7" t="str">
        <x:v>Stage</x:v>
      </x:c>
      <x:c r="B5" s="7" t="str">
        <x:v>Arm</x:v>
      </x:c>
      <x:c r="C5" s="7" t="str">
        <x:v>Run</x:v>
      </x:c>
      <x:c r="D5" s="7" t="str">
        <x:v>Reviewed / 8</x:v>
      </x:c>
      <x:c r="E5" s="7" t="str">
        <x:v>Earned / 8</x:v>
      </x:c>
      <x:c r="F5" s="7" t="str">
        <x:v>Coverage</x:v>
      </x:c>
      <x:c r="G5" s="7" t="str">
        <x:v>Consistent / 8</x:v>
      </x:c>
      <x:c r="H5" s="7" t="str">
        <x:v>Consistent rate</x:v>
      </x:c>
      <x:c r="I5" s="7" t="str">
        <x:v>Harness blocks</x:v>
      </x:c>
    </x:row>
    <x:row r="6" ht="24" customHeight="1">
      <x:c r="A6" s="2" t="str">
        <x:v>S01</x:v>
      </x:c>
      <x:c r="B6" s="2" t="str">
        <x:v>gpt_clean</x:v>
      </x:c>
      <x:c r="C6" s="2" t="n">
        <x:v>1</x:v>
      </x:c>
      <x:c r="D6" s="2" t="n">
        <x:f>SUMIFS('Grades'!$M$6:$M$1157,'Grades'!$B$6:$B$1157,A6,'Grades'!$C$6:$C$1157,B6,'Grades'!$D$6:$D$1157,C6)</x:f>
        <x:v>0</x:v>
      </x:c>
      <x:c r="E6" s="2" t="str">
        <x:f>IF(D6=8,SUMIFS('Grades'!$K$6:$K$1157,'Grades'!$B$6:$B$1157,A6,'Grades'!$C$6:$C$1157,B6,'Grades'!$D$6:$D$1157,C6),"")</x:f>
      </x:c>
      <x:c r="F6" s="11" t="str">
        <x:f>IF(ISNUMBER(E6),E6/8,"")</x:f>
      </x:c>
      <x:c r="G6" s="2" t="str">
        <x:f>IF(D6=8,SUMIFS('Grades'!$L$6:$L$1157,'Grades'!$B$6:$B$1157,A6,'Grades'!$C$6:$C$1157,B6,'Grades'!$D$6:$D$1157,C6),"")</x:f>
      </x:c>
      <x:c r="H6" s="11" t="str">
        <x:f>IF(ISNUMBER(G6),G6/8,"")</x:f>
      </x:c>
      <x:c r="I6" s="2" t="n">
        <x:f>COUNTIFS('Grades'!$B$6:$B$1157,A6,'Grades'!$C$6:$C$1157,B6,'Grades'!$D$6:$D$1157,C6,'Grades'!$K$6:$K$1157,"BLOCKED")</x:f>
        <x:v>0</x:v>
      </x:c>
    </x:row>
    <x:row r="7" ht="24" customHeight="1">
      <x:c r="A7" s="2" t="str">
        <x:v>S02</x:v>
      </x:c>
      <x:c r="B7" s="2" t="str">
        <x:v>gpt_clean</x:v>
      </x:c>
      <x:c r="C7" s="2" t="n">
        <x:v>1</x:v>
      </x:c>
      <x:c r="D7" s="2" t="n">
        <x:f>SUMIFS('Grades'!$M$6:$M$1157,'Grades'!$B$6:$B$1157,A7,'Grades'!$C$6:$C$1157,B7,'Grades'!$D$6:$D$1157,C7)</x:f>
        <x:v>0</x:v>
      </x:c>
      <x:c r="E7" s="2" t="str">
        <x:f>IF(D7=8,SUMIFS('Grades'!$K$6:$K$1157,'Grades'!$B$6:$B$1157,A7,'Grades'!$C$6:$C$1157,B7,'Grades'!$D$6:$D$1157,C7),"")</x:f>
      </x:c>
      <x:c r="F7" s="11" t="str">
        <x:f>IF(ISNUMBER(E7),E7/8,"")</x:f>
      </x:c>
      <x:c r="G7" s="2" t="str">
        <x:f>IF(D7=8,SUMIFS('Grades'!$L$6:$L$1157,'Grades'!$B$6:$B$1157,A7,'Grades'!$C$6:$C$1157,B7,'Grades'!$D$6:$D$1157,C7),"")</x:f>
      </x:c>
      <x:c r="H7" s="11" t="str">
        <x:f>IF(ISNUMBER(G7),G7/8,"")</x:f>
      </x:c>
      <x:c r="I7" s="2" t="n">
        <x:f>COUNTIFS('Grades'!$B$6:$B$1157,A7,'Grades'!$C$6:$C$1157,B7,'Grades'!$D$6:$D$1157,C7,'Grades'!$K$6:$K$1157,"BLOCKED")</x:f>
        <x:v>0</x:v>
      </x:c>
    </x:row>
    <x:row r="8" ht="24" customHeight="1">
      <x:c r="A8" s="2" t="str">
        <x:v>S03</x:v>
      </x:c>
      <x:c r="B8" s="2" t="str">
        <x:v>gpt_clean</x:v>
      </x:c>
      <x:c r="C8" s="2" t="n">
        <x:v>1</x:v>
      </x:c>
      <x:c r="D8" s="2" t="n">
        <x:f>SUMIFS('Grades'!$M$6:$M$1157,'Grades'!$B$6:$B$1157,A8,'Grades'!$C$6:$C$1157,B8,'Grades'!$D$6:$D$1157,C8)</x:f>
        <x:v>0</x:v>
      </x:c>
      <x:c r="E8" s="2" t="str">
        <x:f>IF(D8=8,SUMIFS('Grades'!$K$6:$K$1157,'Grades'!$B$6:$B$1157,A8,'Grades'!$C$6:$C$1157,B8,'Grades'!$D$6:$D$1157,C8),"")</x:f>
      </x:c>
      <x:c r="F8" s="11" t="str">
        <x:f>IF(ISNUMBER(E8),E8/8,"")</x:f>
      </x:c>
      <x:c r="G8" s="2" t="str">
        <x:f>IF(D8=8,SUMIFS('Grades'!$L$6:$L$1157,'Grades'!$B$6:$B$1157,A8,'Grades'!$C$6:$C$1157,B8,'Grades'!$D$6:$D$1157,C8),"")</x:f>
      </x:c>
      <x:c r="H8" s="11" t="str">
        <x:f>IF(ISNUMBER(G8),G8/8,"")</x:f>
      </x:c>
      <x:c r="I8" s="2" t="n">
        <x:f>COUNTIFS('Grades'!$B$6:$B$1157,A8,'Grades'!$C$6:$C$1157,B8,'Grades'!$D$6:$D$1157,C8,'Grades'!$K$6:$K$1157,"BLOCKED")</x:f>
        <x:v>0</x:v>
      </x:c>
    </x:row>
    <x:row r="9" ht="24" customHeight="1">
      <x:c r="A9" s="2" t="str">
        <x:v>S04</x:v>
      </x:c>
      <x:c r="B9" s="2" t="str">
        <x:v>gpt_clean</x:v>
      </x:c>
      <x:c r="C9" s="2" t="n">
        <x:v>1</x:v>
      </x:c>
      <x:c r="D9" s="2" t="n">
        <x:f>SUMIFS('Grades'!$M$6:$M$1157,'Grades'!$B$6:$B$1157,A9,'Grades'!$C$6:$C$1157,B9,'Grades'!$D$6:$D$1157,C9)</x:f>
        <x:v>0</x:v>
      </x:c>
      <x:c r="E9" s="2" t="str">
        <x:f>IF(D9=8,SUMIFS('Grades'!$K$6:$K$1157,'Grades'!$B$6:$B$1157,A9,'Grades'!$C$6:$C$1157,B9,'Grades'!$D$6:$D$1157,C9),"")</x:f>
      </x:c>
      <x:c r="F9" s="11" t="str">
        <x:f>IF(ISNUMBER(E9),E9/8,"")</x:f>
      </x:c>
      <x:c r="G9" s="2" t="str">
        <x:f>IF(D9=8,SUMIFS('Grades'!$L$6:$L$1157,'Grades'!$B$6:$B$1157,A9,'Grades'!$C$6:$C$1157,B9,'Grades'!$D$6:$D$1157,C9),"")</x:f>
      </x:c>
      <x:c r="H9" s="11" t="str">
        <x:f>IF(ISNUMBER(G9),G9/8,"")</x:f>
      </x:c>
      <x:c r="I9" s="2" t="n">
        <x:f>COUNTIFS('Grades'!$B$6:$B$1157,A9,'Grades'!$C$6:$C$1157,B9,'Grades'!$D$6:$D$1157,C9,'Grades'!$K$6:$K$1157,"BLOCKED")</x:f>
        <x:v>0</x:v>
      </x:c>
    </x:row>
    <x:row r="10" ht="24" customHeight="1">
      <x:c r="A10" s="2" t="str">
        <x:v>S05</x:v>
      </x:c>
      <x:c r="B10" s="2" t="str">
        <x:v>gpt_clean</x:v>
      </x:c>
      <x:c r="C10" s="2" t="n">
        <x:v>1</x:v>
      </x:c>
      <x:c r="D10" s="2" t="n">
        <x:f>SUMIFS('Grades'!$M$6:$M$1157,'Grades'!$B$6:$B$1157,A10,'Grades'!$C$6:$C$1157,B10,'Grades'!$D$6:$D$1157,C10)</x:f>
        <x:v>0</x:v>
      </x:c>
      <x:c r="E10" s="2" t="str">
        <x:f>IF(D10=8,SUMIFS('Grades'!$K$6:$K$1157,'Grades'!$B$6:$B$1157,A10,'Grades'!$C$6:$C$1157,B10,'Grades'!$D$6:$D$1157,C10),"")</x:f>
      </x:c>
      <x:c r="F10" s="11" t="str">
        <x:f>IF(ISNUMBER(E10),E10/8,"")</x:f>
      </x:c>
      <x:c r="G10" s="2" t="str">
        <x:f>IF(D10=8,SUMIFS('Grades'!$L$6:$L$1157,'Grades'!$B$6:$B$1157,A10,'Grades'!$C$6:$C$1157,B10,'Grades'!$D$6:$D$1157,C10),"")</x:f>
      </x:c>
      <x:c r="H10" s="11" t="str">
        <x:f>IF(ISNUMBER(G10),G10/8,"")</x:f>
      </x:c>
      <x:c r="I10" s="2" t="n">
        <x:f>COUNTIFS('Grades'!$B$6:$B$1157,A10,'Grades'!$C$6:$C$1157,B10,'Grades'!$D$6:$D$1157,C10,'Grades'!$K$6:$K$1157,"BLOCKED")</x:f>
        <x:v>0</x:v>
      </x:c>
    </x:row>
    <x:row r="11" ht="24" customHeight="1">
      <x:c r="A11" s="2" t="str">
        <x:v>S06</x:v>
      </x:c>
      <x:c r="B11" s="2" t="str">
        <x:v>gpt_clean</x:v>
      </x:c>
      <x:c r="C11" s="2" t="n">
        <x:v>1</x:v>
      </x:c>
      <x:c r="D11" s="2" t="n">
        <x:f>SUMIFS('Grades'!$M$6:$M$1157,'Grades'!$B$6:$B$1157,A11,'Grades'!$C$6:$C$1157,B11,'Grades'!$D$6:$D$1157,C11)</x:f>
        <x:v>0</x:v>
      </x:c>
      <x:c r="E11" s="2" t="str">
        <x:f>IF(D11=8,SUMIFS('Grades'!$K$6:$K$1157,'Grades'!$B$6:$B$1157,A11,'Grades'!$C$6:$C$1157,B11,'Grades'!$D$6:$D$1157,C11),"")</x:f>
      </x:c>
      <x:c r="F11" s="11" t="str">
        <x:f>IF(ISNUMBER(E11),E11/8,"")</x:f>
      </x:c>
      <x:c r="G11" s="2" t="str">
        <x:f>IF(D11=8,SUMIFS('Grades'!$L$6:$L$1157,'Grades'!$B$6:$B$1157,A11,'Grades'!$C$6:$C$1157,B11,'Grades'!$D$6:$D$1157,C11),"")</x:f>
      </x:c>
      <x:c r="H11" s="11" t="str">
        <x:f>IF(ISNUMBER(G11),G11/8,"")</x:f>
      </x:c>
      <x:c r="I11" s="2" t="n">
        <x:f>COUNTIFS('Grades'!$B$6:$B$1157,A11,'Grades'!$C$6:$C$1157,B11,'Grades'!$D$6:$D$1157,C11,'Grades'!$K$6:$K$1157,"BLOCKED")</x:f>
        <x:v>0</x:v>
      </x:c>
    </x:row>
    <x:row r="12" ht="24" customHeight="1">
      <x:c r="A12" s="2" t="str">
        <x:v>S07</x:v>
      </x:c>
      <x:c r="B12" s="2" t="str">
        <x:v>gpt_clean</x:v>
      </x:c>
      <x:c r="C12" s="2" t="n">
        <x:v>1</x:v>
      </x:c>
      <x:c r="D12" s="2" t="n">
        <x:f>SUMIFS('Grades'!$M$6:$M$1157,'Grades'!$B$6:$B$1157,A12,'Grades'!$C$6:$C$1157,B12,'Grades'!$D$6:$D$1157,C12)</x:f>
        <x:v>0</x:v>
      </x:c>
      <x:c r="E12" s="2" t="str">
        <x:f>IF(D12=8,SUMIFS('Grades'!$K$6:$K$1157,'Grades'!$B$6:$B$1157,A12,'Grades'!$C$6:$C$1157,B12,'Grades'!$D$6:$D$1157,C12),"")</x:f>
      </x:c>
      <x:c r="F12" s="11" t="str">
        <x:f>IF(ISNUMBER(E12),E12/8,"")</x:f>
      </x:c>
      <x:c r="G12" s="2" t="str">
        <x:f>IF(D12=8,SUMIFS('Grades'!$L$6:$L$1157,'Grades'!$B$6:$B$1157,A12,'Grades'!$C$6:$C$1157,B12,'Grades'!$D$6:$D$1157,C12),"")</x:f>
      </x:c>
      <x:c r="H12" s="11" t="str">
        <x:f>IF(ISNUMBER(G12),G12/8,"")</x:f>
      </x:c>
      <x:c r="I12" s="2" t="n">
        <x:f>COUNTIFS('Grades'!$B$6:$B$1157,A12,'Grades'!$C$6:$C$1157,B12,'Grades'!$D$6:$D$1157,C12,'Grades'!$K$6:$K$1157,"BLOCKED")</x:f>
        <x:v>0</x:v>
      </x:c>
    </x:row>
    <x:row r="13" ht="24" customHeight="1">
      <x:c r="A13" s="2" t="str">
        <x:v>S08</x:v>
      </x:c>
      <x:c r="B13" s="2" t="str">
        <x:v>gpt_clean</x:v>
      </x:c>
      <x:c r="C13" s="2" t="n">
        <x:v>1</x:v>
      </x:c>
      <x:c r="D13" s="2" t="n">
        <x:f>SUMIFS('Grades'!$M$6:$M$1157,'Grades'!$B$6:$B$1157,A13,'Grades'!$C$6:$C$1157,B13,'Grades'!$D$6:$D$1157,C13)</x:f>
        <x:v>0</x:v>
      </x:c>
      <x:c r="E13" s="2" t="str">
        <x:f>IF(D13=8,SUMIFS('Grades'!$K$6:$K$1157,'Grades'!$B$6:$B$1157,A13,'Grades'!$C$6:$C$1157,B13,'Grades'!$D$6:$D$1157,C13),"")</x:f>
      </x:c>
      <x:c r="F13" s="11" t="str">
        <x:f>IF(ISNUMBER(E13),E13/8,"")</x:f>
      </x:c>
      <x:c r="G13" s="2" t="str">
        <x:f>IF(D13=8,SUMIFS('Grades'!$L$6:$L$1157,'Grades'!$B$6:$B$1157,A13,'Grades'!$C$6:$C$1157,B13,'Grades'!$D$6:$D$1157,C13),"")</x:f>
      </x:c>
      <x:c r="H13" s="11" t="str">
        <x:f>IF(ISNUMBER(G13),G13/8,"")</x:f>
      </x:c>
      <x:c r="I13" s="2" t="n">
        <x:f>COUNTIFS('Grades'!$B$6:$B$1157,A13,'Grades'!$C$6:$C$1157,B13,'Grades'!$D$6:$D$1157,C13,'Grades'!$K$6:$K$1157,"BLOCKED")</x:f>
        <x:v>0</x:v>
      </x:c>
    </x:row>
    <x:row r="14" ht="24" customHeight="1">
      <x:c r="A14" s="2" t="str">
        <x:v>S09</x:v>
      </x:c>
      <x:c r="B14" s="2" t="str">
        <x:v>gpt_clean</x:v>
      </x:c>
      <x:c r="C14" s="2" t="n">
        <x:v>1</x:v>
      </x:c>
      <x:c r="D14" s="2" t="n">
        <x:f>SUMIFS('Grades'!$M$6:$M$1157,'Grades'!$B$6:$B$1157,A14,'Grades'!$C$6:$C$1157,B14,'Grades'!$D$6:$D$1157,C14)</x:f>
        <x:v>0</x:v>
      </x:c>
      <x:c r="E14" s="2" t="str">
        <x:f>IF(D14=8,SUMIFS('Grades'!$K$6:$K$1157,'Grades'!$B$6:$B$1157,A14,'Grades'!$C$6:$C$1157,B14,'Grades'!$D$6:$D$1157,C14),"")</x:f>
      </x:c>
      <x:c r="F14" s="11" t="str">
        <x:f>IF(ISNUMBER(E14),E14/8,"")</x:f>
      </x:c>
      <x:c r="G14" s="2" t="str">
        <x:f>IF(D14=8,SUMIFS('Grades'!$L$6:$L$1157,'Grades'!$B$6:$B$1157,A14,'Grades'!$C$6:$C$1157,B14,'Grades'!$D$6:$D$1157,C14),"")</x:f>
      </x:c>
      <x:c r="H14" s="11" t="str">
        <x:f>IF(ISNUMBER(G14),G14/8,"")</x:f>
      </x:c>
      <x:c r="I14" s="2" t="n">
        <x:f>COUNTIFS('Grades'!$B$6:$B$1157,A14,'Grades'!$C$6:$C$1157,B14,'Grades'!$D$6:$D$1157,C14,'Grades'!$K$6:$K$1157,"BLOCKED")</x:f>
        <x:v>0</x:v>
      </x:c>
    </x:row>
    <x:row r="15" ht="24" customHeight="1">
      <x:c r="A15" s="2" t="str">
        <x:v>S10</x:v>
      </x:c>
      <x:c r="B15" s="2" t="str">
        <x:v>gpt_clean</x:v>
      </x:c>
      <x:c r="C15" s="2" t="n">
        <x:v>1</x:v>
      </x:c>
      <x:c r="D15" s="2" t="n">
        <x:f>SUMIFS('Grades'!$M$6:$M$1157,'Grades'!$B$6:$B$1157,A15,'Grades'!$C$6:$C$1157,B15,'Grades'!$D$6:$D$1157,C15)</x:f>
        <x:v>0</x:v>
      </x:c>
      <x:c r="E15" s="2" t="str">
        <x:f>IF(D15=8,SUMIFS('Grades'!$K$6:$K$1157,'Grades'!$B$6:$B$1157,A15,'Grades'!$C$6:$C$1157,B15,'Grades'!$D$6:$D$1157,C15),"")</x:f>
      </x:c>
      <x:c r="F15" s="11" t="str">
        <x:f>IF(ISNUMBER(E15),E15/8,"")</x:f>
      </x:c>
      <x:c r="G15" s="2" t="str">
        <x:f>IF(D15=8,SUMIFS('Grades'!$L$6:$L$1157,'Grades'!$B$6:$B$1157,A15,'Grades'!$C$6:$C$1157,B15,'Grades'!$D$6:$D$1157,C15),"")</x:f>
      </x:c>
      <x:c r="H15" s="11" t="str">
        <x:f>IF(ISNUMBER(G15),G15/8,"")</x:f>
      </x:c>
      <x:c r="I15" s="2" t="n">
        <x:f>COUNTIFS('Grades'!$B$6:$B$1157,A15,'Grades'!$C$6:$C$1157,B15,'Grades'!$D$6:$D$1157,C15,'Grades'!$K$6:$K$1157,"BLOCKED")</x:f>
        <x:v>0</x:v>
      </x:c>
    </x:row>
    <x:row r="16" ht="24" customHeight="1">
      <x:c r="A16" s="2" t="str">
        <x:v>S11</x:v>
      </x:c>
      <x:c r="B16" s="2" t="str">
        <x:v>gpt_clean</x:v>
      </x:c>
      <x:c r="C16" s="2" t="n">
        <x:v>1</x:v>
      </x:c>
      <x:c r="D16" s="2" t="n">
        <x:f>SUMIFS('Grades'!$M$6:$M$1157,'Grades'!$B$6:$B$1157,A16,'Grades'!$C$6:$C$1157,B16,'Grades'!$D$6:$D$1157,C16)</x:f>
        <x:v>0</x:v>
      </x:c>
      <x:c r="E16" s="2" t="str">
        <x:f>IF(D16=8,SUMIFS('Grades'!$K$6:$K$1157,'Grades'!$B$6:$B$1157,A16,'Grades'!$C$6:$C$1157,B16,'Grades'!$D$6:$D$1157,C16),"")</x:f>
      </x:c>
      <x:c r="F16" s="11" t="str">
        <x:f>IF(ISNUMBER(E16),E16/8,"")</x:f>
      </x:c>
      <x:c r="G16" s="2" t="str">
        <x:f>IF(D16=8,SUMIFS('Grades'!$L$6:$L$1157,'Grades'!$B$6:$B$1157,A16,'Grades'!$C$6:$C$1157,B16,'Grades'!$D$6:$D$1157,C16),"")</x:f>
      </x:c>
      <x:c r="H16" s="11" t="str">
        <x:f>IF(ISNUMBER(G16),G16/8,"")</x:f>
      </x:c>
      <x:c r="I16" s="2" t="n">
        <x:f>COUNTIFS('Grades'!$B$6:$B$1157,A16,'Grades'!$C$6:$C$1157,B16,'Grades'!$D$6:$D$1157,C16,'Grades'!$K$6:$K$1157,"BLOCKED")</x:f>
        <x:v>0</x:v>
      </x:c>
    </x:row>
    <x:row r="17" ht="24" customHeight="1">
      <x:c r="A17" s="2" t="str">
        <x:v>S12</x:v>
      </x:c>
      <x:c r="B17" s="2" t="str">
        <x:v>gpt_clean</x:v>
      </x:c>
      <x:c r="C17" s="2" t="n">
        <x:v>1</x:v>
      </x:c>
      <x:c r="D17" s="2" t="n">
        <x:f>SUMIFS('Grades'!$M$6:$M$1157,'Grades'!$B$6:$B$1157,A17,'Grades'!$C$6:$C$1157,B17,'Grades'!$D$6:$D$1157,C17)</x:f>
        <x:v>0</x:v>
      </x:c>
      <x:c r="E17" s="2" t="str">
        <x:f>IF(D17=8,SUMIFS('Grades'!$K$6:$K$1157,'Grades'!$B$6:$B$1157,A17,'Grades'!$C$6:$C$1157,B17,'Grades'!$D$6:$D$1157,C17),"")</x:f>
      </x:c>
      <x:c r="F17" s="11" t="str">
        <x:f>IF(ISNUMBER(E17),E17/8,"")</x:f>
      </x:c>
      <x:c r="G17" s="2" t="str">
        <x:f>IF(D17=8,SUMIFS('Grades'!$L$6:$L$1157,'Grades'!$B$6:$B$1157,A17,'Grades'!$C$6:$C$1157,B17,'Grades'!$D$6:$D$1157,C17),"")</x:f>
      </x:c>
      <x:c r="H17" s="11" t="str">
        <x:f>IF(ISNUMBER(G17),G17/8,"")</x:f>
      </x:c>
      <x:c r="I17" s="2" t="n">
        <x:f>COUNTIFS('Grades'!$B$6:$B$1157,A17,'Grades'!$C$6:$C$1157,B17,'Grades'!$D$6:$D$1157,C17,'Grades'!$K$6:$K$1157,"BLOCKED")</x:f>
        <x:v>0</x:v>
      </x:c>
    </x:row>
    <x:row r="18" ht="24" customHeight="1">
      <x:c r="A18" s="2" t="str">
        <x:v>S01</x:v>
      </x:c>
      <x:c r="B18" s="2" t="str">
        <x:v>gpt_clean</x:v>
      </x:c>
      <x:c r="C18" s="2" t="n">
        <x:v>2</x:v>
      </x:c>
      <x:c r="D18" s="2" t="n">
        <x:f>SUMIFS('Grades'!$M$6:$M$1157,'Grades'!$B$6:$B$1157,A18,'Grades'!$C$6:$C$1157,B18,'Grades'!$D$6:$D$1157,C18)</x:f>
        <x:v>0</x:v>
      </x:c>
      <x:c r="E18" s="2" t="str">
        <x:f>IF(D18=8,SUMIFS('Grades'!$K$6:$K$1157,'Grades'!$B$6:$B$1157,A18,'Grades'!$C$6:$C$1157,B18,'Grades'!$D$6:$D$1157,C18),"")</x:f>
      </x:c>
      <x:c r="F18" s="11" t="str">
        <x:f>IF(ISNUMBER(E18),E18/8,"")</x:f>
      </x:c>
      <x:c r="G18" s="2" t="str">
        <x:f>IF(D18=8,SUMIFS('Grades'!$L$6:$L$1157,'Grades'!$B$6:$B$1157,A18,'Grades'!$C$6:$C$1157,B18,'Grades'!$D$6:$D$1157,C18),"")</x:f>
      </x:c>
      <x:c r="H18" s="11" t="str">
        <x:f>IF(ISNUMBER(G18),G18/8,"")</x:f>
      </x:c>
      <x:c r="I18" s="2" t="n">
        <x:f>COUNTIFS('Grades'!$B$6:$B$1157,A18,'Grades'!$C$6:$C$1157,B18,'Grades'!$D$6:$D$1157,C18,'Grades'!$K$6:$K$1157,"BLOCKED")</x:f>
        <x:v>0</x:v>
      </x:c>
    </x:row>
    <x:row r="19" ht="24" customHeight="1">
      <x:c r="A19" s="2" t="str">
        <x:v>S02</x:v>
      </x:c>
      <x:c r="B19" s="2" t="str">
        <x:v>gpt_clean</x:v>
      </x:c>
      <x:c r="C19" s="2" t="n">
        <x:v>2</x:v>
      </x:c>
      <x:c r="D19" s="2" t="n">
        <x:f>SUMIFS('Grades'!$M$6:$M$1157,'Grades'!$B$6:$B$1157,A19,'Grades'!$C$6:$C$1157,B19,'Grades'!$D$6:$D$1157,C19)</x:f>
        <x:v>0</x:v>
      </x:c>
      <x:c r="E19" s="2" t="str">
        <x:f>IF(D19=8,SUMIFS('Grades'!$K$6:$K$1157,'Grades'!$B$6:$B$1157,A19,'Grades'!$C$6:$C$1157,B19,'Grades'!$D$6:$D$1157,C19),"")</x:f>
      </x:c>
      <x:c r="F19" s="11" t="str">
        <x:f>IF(ISNUMBER(E19),E19/8,"")</x:f>
      </x:c>
      <x:c r="G19" s="2" t="str">
        <x:f>IF(D19=8,SUMIFS('Grades'!$L$6:$L$1157,'Grades'!$B$6:$B$1157,A19,'Grades'!$C$6:$C$1157,B19,'Grades'!$D$6:$D$1157,C19),"")</x:f>
      </x:c>
      <x:c r="H19" s="11" t="str">
        <x:f>IF(ISNUMBER(G19),G19/8,"")</x:f>
      </x:c>
      <x:c r="I19" s="2" t="n">
        <x:f>COUNTIFS('Grades'!$B$6:$B$1157,A19,'Grades'!$C$6:$C$1157,B19,'Grades'!$D$6:$D$1157,C19,'Grades'!$K$6:$K$1157,"BLOCKED")</x:f>
        <x:v>0</x:v>
      </x:c>
    </x:row>
    <x:row r="20" ht="24" customHeight="1">
      <x:c r="A20" s="2" t="str">
        <x:v>S03</x:v>
      </x:c>
      <x:c r="B20" s="2" t="str">
        <x:v>gpt_clean</x:v>
      </x:c>
      <x:c r="C20" s="2" t="n">
        <x:v>2</x:v>
      </x:c>
      <x:c r="D20" s="2" t="n">
        <x:f>SUMIFS('Grades'!$M$6:$M$1157,'Grades'!$B$6:$B$1157,A20,'Grades'!$C$6:$C$1157,B20,'Grades'!$D$6:$D$1157,C20)</x:f>
        <x:v>0</x:v>
      </x:c>
      <x:c r="E20" s="2" t="str">
        <x:f>IF(D20=8,SUMIFS('Grades'!$K$6:$K$1157,'Grades'!$B$6:$B$1157,A20,'Grades'!$C$6:$C$1157,B20,'Grades'!$D$6:$D$1157,C20),"")</x:f>
      </x:c>
      <x:c r="F20" s="11" t="str">
        <x:f>IF(ISNUMBER(E20),E20/8,"")</x:f>
      </x:c>
      <x:c r="G20" s="2" t="str">
        <x:f>IF(D20=8,SUMIFS('Grades'!$L$6:$L$1157,'Grades'!$B$6:$B$1157,A20,'Grades'!$C$6:$C$1157,B20,'Grades'!$D$6:$D$1157,C20),"")</x:f>
      </x:c>
      <x:c r="H20" s="11" t="str">
        <x:f>IF(ISNUMBER(G20),G20/8,"")</x:f>
      </x:c>
      <x:c r="I20" s="2" t="n">
        <x:f>COUNTIFS('Grades'!$B$6:$B$1157,A20,'Grades'!$C$6:$C$1157,B20,'Grades'!$D$6:$D$1157,C20,'Grades'!$K$6:$K$1157,"BLOCKED")</x:f>
        <x:v>0</x:v>
      </x:c>
    </x:row>
    <x:row r="21" ht="24" customHeight="1">
      <x:c r="A21" s="2" t="str">
        <x:v>S04</x:v>
      </x:c>
      <x:c r="B21" s="2" t="str">
        <x:v>gpt_clean</x:v>
      </x:c>
      <x:c r="C21" s="2" t="n">
        <x:v>2</x:v>
      </x:c>
      <x:c r="D21" s="2" t="n">
        <x:f>SUMIFS('Grades'!$M$6:$M$1157,'Grades'!$B$6:$B$1157,A21,'Grades'!$C$6:$C$1157,B21,'Grades'!$D$6:$D$1157,C21)</x:f>
        <x:v>0</x:v>
      </x:c>
      <x:c r="E21" s="2" t="str">
        <x:f>IF(D21=8,SUMIFS('Grades'!$K$6:$K$1157,'Grades'!$B$6:$B$1157,A21,'Grades'!$C$6:$C$1157,B21,'Grades'!$D$6:$D$1157,C21),"")</x:f>
      </x:c>
      <x:c r="F21" s="11" t="str">
        <x:f>IF(ISNUMBER(E21),E21/8,"")</x:f>
      </x:c>
      <x:c r="G21" s="2" t="str">
        <x:f>IF(D21=8,SUMIFS('Grades'!$L$6:$L$1157,'Grades'!$B$6:$B$1157,A21,'Grades'!$C$6:$C$1157,B21,'Grades'!$D$6:$D$1157,C21),"")</x:f>
      </x:c>
      <x:c r="H21" s="11" t="str">
        <x:f>IF(ISNUMBER(G21),G21/8,"")</x:f>
      </x:c>
      <x:c r="I21" s="2" t="n">
        <x:f>COUNTIFS('Grades'!$B$6:$B$1157,A21,'Grades'!$C$6:$C$1157,B21,'Grades'!$D$6:$D$1157,C21,'Grades'!$K$6:$K$1157,"BLOCKED")</x:f>
        <x:v>0</x:v>
      </x:c>
    </x:row>
    <x:row r="22" ht="24" customHeight="1">
      <x:c r="A22" s="2" t="str">
        <x:v>S05</x:v>
      </x:c>
      <x:c r="B22" s="2" t="str">
        <x:v>gpt_clean</x:v>
      </x:c>
      <x:c r="C22" s="2" t="n">
        <x:v>2</x:v>
      </x:c>
      <x:c r="D22" s="2" t="n">
        <x:f>SUMIFS('Grades'!$M$6:$M$1157,'Grades'!$B$6:$B$1157,A22,'Grades'!$C$6:$C$1157,B22,'Grades'!$D$6:$D$1157,C22)</x:f>
        <x:v>0</x:v>
      </x:c>
      <x:c r="E22" s="2" t="str">
        <x:f>IF(D22=8,SUMIFS('Grades'!$K$6:$K$1157,'Grades'!$B$6:$B$1157,A22,'Grades'!$C$6:$C$1157,B22,'Grades'!$D$6:$D$1157,C22),"")</x:f>
      </x:c>
      <x:c r="F22" s="11" t="str">
        <x:f>IF(ISNUMBER(E22),E22/8,"")</x:f>
      </x:c>
      <x:c r="G22" s="2" t="str">
        <x:f>IF(D22=8,SUMIFS('Grades'!$L$6:$L$1157,'Grades'!$B$6:$B$1157,A22,'Grades'!$C$6:$C$1157,B22,'Grades'!$D$6:$D$1157,C22),"")</x:f>
      </x:c>
      <x:c r="H22" s="11" t="str">
        <x:f>IF(ISNUMBER(G22),G22/8,"")</x:f>
      </x:c>
      <x:c r="I22" s="2" t="n">
        <x:f>COUNTIFS('Grades'!$B$6:$B$1157,A22,'Grades'!$C$6:$C$1157,B22,'Grades'!$D$6:$D$1157,C22,'Grades'!$K$6:$K$1157,"BLOCKED")</x:f>
        <x:v>0</x:v>
      </x:c>
    </x:row>
    <x:row r="23" ht="24" customHeight="1">
      <x:c r="A23" s="2" t="str">
        <x:v>S06</x:v>
      </x:c>
      <x:c r="B23" s="2" t="str">
        <x:v>gpt_clean</x:v>
      </x:c>
      <x:c r="C23" s="2" t="n">
        <x:v>2</x:v>
      </x:c>
      <x:c r="D23" s="2" t="n">
        <x:f>SUMIFS('Grades'!$M$6:$M$1157,'Grades'!$B$6:$B$1157,A23,'Grades'!$C$6:$C$1157,B23,'Grades'!$D$6:$D$1157,C23)</x:f>
        <x:v>0</x:v>
      </x:c>
      <x:c r="E23" s="2" t="str">
        <x:f>IF(D23=8,SUMIFS('Grades'!$K$6:$K$1157,'Grades'!$B$6:$B$1157,A23,'Grades'!$C$6:$C$1157,B23,'Grades'!$D$6:$D$1157,C23),"")</x:f>
      </x:c>
      <x:c r="F23" s="11" t="str">
        <x:f>IF(ISNUMBER(E23),E23/8,"")</x:f>
      </x:c>
      <x:c r="G23" s="2" t="str">
        <x:f>IF(D23=8,SUMIFS('Grades'!$L$6:$L$1157,'Grades'!$B$6:$B$1157,A23,'Grades'!$C$6:$C$1157,B23,'Grades'!$D$6:$D$1157,C23),"")</x:f>
      </x:c>
      <x:c r="H23" s="11" t="str">
        <x:f>IF(ISNUMBER(G23),G23/8,"")</x:f>
      </x:c>
      <x:c r="I23" s="2" t="n">
        <x:f>COUNTIFS('Grades'!$B$6:$B$1157,A23,'Grades'!$C$6:$C$1157,B23,'Grades'!$D$6:$D$1157,C23,'Grades'!$K$6:$K$1157,"BLOCKED")</x:f>
        <x:v>0</x:v>
      </x:c>
    </x:row>
    <x:row r="24" ht="24" customHeight="1">
      <x:c r="A24" s="2" t="str">
        <x:v>S07</x:v>
      </x:c>
      <x:c r="B24" s="2" t="str">
        <x:v>gpt_clean</x:v>
      </x:c>
      <x:c r="C24" s="2" t="n">
        <x:v>2</x:v>
      </x:c>
      <x:c r="D24" s="2" t="n">
        <x:f>SUMIFS('Grades'!$M$6:$M$1157,'Grades'!$B$6:$B$1157,A24,'Grades'!$C$6:$C$1157,B24,'Grades'!$D$6:$D$1157,C24)</x:f>
        <x:v>0</x:v>
      </x:c>
      <x:c r="E24" s="2" t="str">
        <x:f>IF(D24=8,SUMIFS('Grades'!$K$6:$K$1157,'Grades'!$B$6:$B$1157,A24,'Grades'!$C$6:$C$1157,B24,'Grades'!$D$6:$D$1157,C24),"")</x:f>
      </x:c>
      <x:c r="F24" s="11" t="str">
        <x:f>IF(ISNUMBER(E24),E24/8,"")</x:f>
      </x:c>
      <x:c r="G24" s="2" t="str">
        <x:f>IF(D24=8,SUMIFS('Grades'!$L$6:$L$1157,'Grades'!$B$6:$B$1157,A24,'Grades'!$C$6:$C$1157,B24,'Grades'!$D$6:$D$1157,C24),"")</x:f>
      </x:c>
      <x:c r="H24" s="11" t="str">
        <x:f>IF(ISNUMBER(G24),G24/8,"")</x:f>
      </x:c>
      <x:c r="I24" s="2" t="n">
        <x:f>COUNTIFS('Grades'!$B$6:$B$1157,A24,'Grades'!$C$6:$C$1157,B24,'Grades'!$D$6:$D$1157,C24,'Grades'!$K$6:$K$1157,"BLOCKED")</x:f>
        <x:v>0</x:v>
      </x:c>
    </x:row>
    <x:row r="25" ht="24" customHeight="1">
      <x:c r="A25" s="2" t="str">
        <x:v>S08</x:v>
      </x:c>
      <x:c r="B25" s="2" t="str">
        <x:v>gpt_clean</x:v>
      </x:c>
      <x:c r="C25" s="2" t="n">
        <x:v>2</x:v>
      </x:c>
      <x:c r="D25" s="2" t="n">
        <x:f>SUMIFS('Grades'!$M$6:$M$1157,'Grades'!$B$6:$B$1157,A25,'Grades'!$C$6:$C$1157,B25,'Grades'!$D$6:$D$1157,C25)</x:f>
        <x:v>0</x:v>
      </x:c>
      <x:c r="E25" s="2" t="str">
        <x:f>IF(D25=8,SUMIFS('Grades'!$K$6:$K$1157,'Grades'!$B$6:$B$1157,A25,'Grades'!$C$6:$C$1157,B25,'Grades'!$D$6:$D$1157,C25),"")</x:f>
      </x:c>
      <x:c r="F25" s="11" t="str">
        <x:f>IF(ISNUMBER(E25),E25/8,"")</x:f>
      </x:c>
      <x:c r="G25" s="2" t="str">
        <x:f>IF(D25=8,SUMIFS('Grades'!$L$6:$L$1157,'Grades'!$B$6:$B$1157,A25,'Grades'!$C$6:$C$1157,B25,'Grades'!$D$6:$D$1157,C25),"")</x:f>
      </x:c>
      <x:c r="H25" s="11" t="str">
        <x:f>IF(ISNUMBER(G25),G25/8,"")</x:f>
      </x:c>
      <x:c r="I25" s="2" t="n">
        <x:f>COUNTIFS('Grades'!$B$6:$B$1157,A25,'Grades'!$C$6:$C$1157,B25,'Grades'!$D$6:$D$1157,C25,'Grades'!$K$6:$K$1157,"BLOCKED")</x:f>
        <x:v>0</x:v>
      </x:c>
    </x:row>
    <x:row r="26" ht="24" customHeight="1">
      <x:c r="A26" s="2" t="str">
        <x:v>S09</x:v>
      </x:c>
      <x:c r="B26" s="2" t="str">
        <x:v>gpt_clean</x:v>
      </x:c>
      <x:c r="C26" s="2" t="n">
        <x:v>2</x:v>
      </x:c>
      <x:c r="D26" s="2" t="n">
        <x:f>SUMIFS('Grades'!$M$6:$M$1157,'Grades'!$B$6:$B$1157,A26,'Grades'!$C$6:$C$1157,B26,'Grades'!$D$6:$D$1157,C26)</x:f>
        <x:v>0</x:v>
      </x:c>
      <x:c r="E26" s="2" t="str">
        <x:f>IF(D26=8,SUMIFS('Grades'!$K$6:$K$1157,'Grades'!$B$6:$B$1157,A26,'Grades'!$C$6:$C$1157,B26,'Grades'!$D$6:$D$1157,C26),"")</x:f>
      </x:c>
      <x:c r="F26" s="11" t="str">
        <x:f>IF(ISNUMBER(E26),E26/8,"")</x:f>
      </x:c>
      <x:c r="G26" s="2" t="str">
        <x:f>IF(D26=8,SUMIFS('Grades'!$L$6:$L$1157,'Grades'!$B$6:$B$1157,A26,'Grades'!$C$6:$C$1157,B26,'Grades'!$D$6:$D$1157,C26),"")</x:f>
      </x:c>
      <x:c r="H26" s="11" t="str">
        <x:f>IF(ISNUMBER(G26),G26/8,"")</x:f>
      </x:c>
      <x:c r="I26" s="2" t="n">
        <x:f>COUNTIFS('Grades'!$B$6:$B$1157,A26,'Grades'!$C$6:$C$1157,B26,'Grades'!$D$6:$D$1157,C26,'Grades'!$K$6:$K$1157,"BLOCKED")</x:f>
        <x:v>0</x:v>
      </x:c>
    </x:row>
    <x:row r="27" ht="24" customHeight="1">
      <x:c r="A27" s="2" t="str">
        <x:v>S10</x:v>
      </x:c>
      <x:c r="B27" s="2" t="str">
        <x:v>gpt_clean</x:v>
      </x:c>
      <x:c r="C27" s="2" t="n">
        <x:v>2</x:v>
      </x:c>
      <x:c r="D27" s="2" t="n">
        <x:f>SUMIFS('Grades'!$M$6:$M$1157,'Grades'!$B$6:$B$1157,A27,'Grades'!$C$6:$C$1157,B27,'Grades'!$D$6:$D$1157,C27)</x:f>
        <x:v>0</x:v>
      </x:c>
      <x:c r="E27" s="2" t="str">
        <x:f>IF(D27=8,SUMIFS('Grades'!$K$6:$K$1157,'Grades'!$B$6:$B$1157,A27,'Grades'!$C$6:$C$1157,B27,'Grades'!$D$6:$D$1157,C27),"")</x:f>
      </x:c>
      <x:c r="F27" s="11" t="str">
        <x:f>IF(ISNUMBER(E27),E27/8,"")</x:f>
      </x:c>
      <x:c r="G27" s="2" t="str">
        <x:f>IF(D27=8,SUMIFS('Grades'!$L$6:$L$1157,'Grades'!$B$6:$B$1157,A27,'Grades'!$C$6:$C$1157,B27,'Grades'!$D$6:$D$1157,C27),"")</x:f>
      </x:c>
      <x:c r="H27" s="11" t="str">
        <x:f>IF(ISNUMBER(G27),G27/8,"")</x:f>
      </x:c>
      <x:c r="I27" s="2" t="n">
        <x:f>COUNTIFS('Grades'!$B$6:$B$1157,A27,'Grades'!$C$6:$C$1157,B27,'Grades'!$D$6:$D$1157,C27,'Grades'!$K$6:$K$1157,"BLOCKED")</x:f>
        <x:v>0</x:v>
      </x:c>
    </x:row>
    <x:row r="28" ht="24" customHeight="1">
      <x:c r="A28" s="2" t="str">
        <x:v>S11</x:v>
      </x:c>
      <x:c r="B28" s="2" t="str">
        <x:v>gpt_clean</x:v>
      </x:c>
      <x:c r="C28" s="2" t="n">
        <x:v>2</x:v>
      </x:c>
      <x:c r="D28" s="2" t="n">
        <x:f>SUMIFS('Grades'!$M$6:$M$1157,'Grades'!$B$6:$B$1157,A28,'Grades'!$C$6:$C$1157,B28,'Grades'!$D$6:$D$1157,C28)</x:f>
        <x:v>0</x:v>
      </x:c>
      <x:c r="E28" s="2" t="str">
        <x:f>IF(D28=8,SUMIFS('Grades'!$K$6:$K$1157,'Grades'!$B$6:$B$1157,A28,'Grades'!$C$6:$C$1157,B28,'Grades'!$D$6:$D$1157,C28),"")</x:f>
      </x:c>
      <x:c r="F28" s="11" t="str">
        <x:f>IF(ISNUMBER(E28),E28/8,"")</x:f>
      </x:c>
      <x:c r="G28" s="2" t="str">
        <x:f>IF(D28=8,SUMIFS('Grades'!$L$6:$L$1157,'Grades'!$B$6:$B$1157,A28,'Grades'!$C$6:$C$1157,B28,'Grades'!$D$6:$D$1157,C28),"")</x:f>
      </x:c>
      <x:c r="H28" s="11" t="str">
        <x:f>IF(ISNUMBER(G28),G28/8,"")</x:f>
      </x:c>
      <x:c r="I28" s="2" t="n">
        <x:f>COUNTIFS('Grades'!$B$6:$B$1157,A28,'Grades'!$C$6:$C$1157,B28,'Grades'!$D$6:$D$1157,C28,'Grades'!$K$6:$K$1157,"BLOCKED")</x:f>
        <x:v>0</x:v>
      </x:c>
    </x:row>
    <x:row r="29" ht="24" customHeight="1">
      <x:c r="A29" s="2" t="str">
        <x:v>S12</x:v>
      </x:c>
      <x:c r="B29" s="2" t="str">
        <x:v>gpt_clean</x:v>
      </x:c>
      <x:c r="C29" s="2" t="n">
        <x:v>2</x:v>
      </x:c>
      <x:c r="D29" s="2" t="n">
        <x:f>SUMIFS('Grades'!$M$6:$M$1157,'Grades'!$B$6:$B$1157,A29,'Grades'!$C$6:$C$1157,B29,'Grades'!$D$6:$D$1157,C29)</x:f>
        <x:v>0</x:v>
      </x:c>
      <x:c r="E29" s="2" t="str">
        <x:f>IF(D29=8,SUMIFS('Grades'!$K$6:$K$1157,'Grades'!$B$6:$B$1157,A29,'Grades'!$C$6:$C$1157,B29,'Grades'!$D$6:$D$1157,C29),"")</x:f>
      </x:c>
      <x:c r="F29" s="11" t="str">
        <x:f>IF(ISNUMBER(E29),E29/8,"")</x:f>
      </x:c>
      <x:c r="G29" s="2" t="str">
        <x:f>IF(D29=8,SUMIFS('Grades'!$L$6:$L$1157,'Grades'!$B$6:$B$1157,A29,'Grades'!$C$6:$C$1157,B29,'Grades'!$D$6:$D$1157,C29),"")</x:f>
      </x:c>
      <x:c r="H29" s="11" t="str">
        <x:f>IF(ISNUMBER(G29),G29/8,"")</x:f>
      </x:c>
      <x:c r="I29" s="2" t="n">
        <x:f>COUNTIFS('Grades'!$B$6:$B$1157,A29,'Grades'!$C$6:$C$1157,B29,'Grades'!$D$6:$D$1157,C29,'Grades'!$K$6:$K$1157,"BLOCKED")</x:f>
        <x:v>0</x:v>
      </x:c>
    </x:row>
    <x:row r="30" ht="24" customHeight="1">
      <x:c r="A30" s="2" t="str">
        <x:v>S01</x:v>
      </x:c>
      <x:c r="B30" s="2" t="str">
        <x:v>gpt_clean</x:v>
      </x:c>
      <x:c r="C30" s="2" t="n">
        <x:v>3</x:v>
      </x:c>
      <x:c r="D30" s="2" t="n">
        <x:f>SUMIFS('Grades'!$M$6:$M$1157,'Grades'!$B$6:$B$1157,A30,'Grades'!$C$6:$C$1157,B30,'Grades'!$D$6:$D$1157,C30)</x:f>
        <x:v>0</x:v>
      </x:c>
      <x:c r="E30" s="2" t="str">
        <x:f>IF(D30=8,SUMIFS('Grades'!$K$6:$K$1157,'Grades'!$B$6:$B$1157,A30,'Grades'!$C$6:$C$1157,B30,'Grades'!$D$6:$D$1157,C30),"")</x:f>
      </x:c>
      <x:c r="F30" s="11" t="str">
        <x:f>IF(ISNUMBER(E30),E30/8,"")</x:f>
      </x:c>
      <x:c r="G30" s="2" t="str">
        <x:f>IF(D30=8,SUMIFS('Grades'!$L$6:$L$1157,'Grades'!$B$6:$B$1157,A30,'Grades'!$C$6:$C$1157,B30,'Grades'!$D$6:$D$1157,C30),"")</x:f>
      </x:c>
      <x:c r="H30" s="11" t="str">
        <x:f>IF(ISNUMBER(G30),G30/8,"")</x:f>
      </x:c>
      <x:c r="I30" s="2" t="n">
        <x:f>COUNTIFS('Grades'!$B$6:$B$1157,A30,'Grades'!$C$6:$C$1157,B30,'Grades'!$D$6:$D$1157,C30,'Grades'!$K$6:$K$1157,"BLOCKED")</x:f>
        <x:v>0</x:v>
      </x:c>
    </x:row>
    <x:row r="31" ht="24" customHeight="1">
      <x:c r="A31" s="2" t="str">
        <x:v>S02</x:v>
      </x:c>
      <x:c r="B31" s="2" t="str">
        <x:v>gpt_clean</x:v>
      </x:c>
      <x:c r="C31" s="2" t="n">
        <x:v>3</x:v>
      </x:c>
      <x:c r="D31" s="2" t="n">
        <x:f>SUMIFS('Grades'!$M$6:$M$1157,'Grades'!$B$6:$B$1157,A31,'Grades'!$C$6:$C$1157,B31,'Grades'!$D$6:$D$1157,C31)</x:f>
        <x:v>0</x:v>
      </x:c>
      <x:c r="E31" s="2" t="str">
        <x:f>IF(D31=8,SUMIFS('Grades'!$K$6:$K$1157,'Grades'!$B$6:$B$1157,A31,'Grades'!$C$6:$C$1157,B31,'Grades'!$D$6:$D$1157,C31),"")</x:f>
      </x:c>
      <x:c r="F31" s="11" t="str">
        <x:f>IF(ISNUMBER(E31),E31/8,"")</x:f>
      </x:c>
      <x:c r="G31" s="2" t="str">
        <x:f>IF(D31=8,SUMIFS('Grades'!$L$6:$L$1157,'Grades'!$B$6:$B$1157,A31,'Grades'!$C$6:$C$1157,B31,'Grades'!$D$6:$D$1157,C31),"")</x:f>
      </x:c>
      <x:c r="H31" s="11" t="str">
        <x:f>IF(ISNUMBER(G31),G31/8,"")</x:f>
      </x:c>
      <x:c r="I31" s="2" t="n">
        <x:f>COUNTIFS('Grades'!$B$6:$B$1157,A31,'Grades'!$C$6:$C$1157,B31,'Grades'!$D$6:$D$1157,C31,'Grades'!$K$6:$K$1157,"BLOCKED")</x:f>
        <x:v>0</x:v>
      </x:c>
    </x:row>
    <x:row r="32" ht="24" customHeight="1">
      <x:c r="A32" s="2" t="str">
        <x:v>S03</x:v>
      </x:c>
      <x:c r="B32" s="2" t="str">
        <x:v>gpt_clean</x:v>
      </x:c>
      <x:c r="C32" s="2" t="n">
        <x:v>3</x:v>
      </x:c>
      <x:c r="D32" s="2" t="n">
        <x:f>SUMIFS('Grades'!$M$6:$M$1157,'Grades'!$B$6:$B$1157,A32,'Grades'!$C$6:$C$1157,B32,'Grades'!$D$6:$D$1157,C32)</x:f>
        <x:v>0</x:v>
      </x:c>
      <x:c r="E32" s="2" t="str">
        <x:f>IF(D32=8,SUMIFS('Grades'!$K$6:$K$1157,'Grades'!$B$6:$B$1157,A32,'Grades'!$C$6:$C$1157,B32,'Grades'!$D$6:$D$1157,C32),"")</x:f>
      </x:c>
      <x:c r="F32" s="11" t="str">
        <x:f>IF(ISNUMBER(E32),E32/8,"")</x:f>
      </x:c>
      <x:c r="G32" s="2" t="str">
        <x:f>IF(D32=8,SUMIFS('Grades'!$L$6:$L$1157,'Grades'!$B$6:$B$1157,A32,'Grades'!$C$6:$C$1157,B32,'Grades'!$D$6:$D$1157,C32),"")</x:f>
      </x:c>
      <x:c r="H32" s="11" t="str">
        <x:f>IF(ISNUMBER(G32),G32/8,"")</x:f>
      </x:c>
      <x:c r="I32" s="2" t="n">
        <x:f>COUNTIFS('Grades'!$B$6:$B$1157,A32,'Grades'!$C$6:$C$1157,B32,'Grades'!$D$6:$D$1157,C32,'Grades'!$K$6:$K$1157,"BLOCKED")</x:f>
        <x:v>0</x:v>
      </x:c>
    </x:row>
    <x:row r="33" ht="24" customHeight="1">
      <x:c r="A33" s="2" t="str">
        <x:v>S04</x:v>
      </x:c>
      <x:c r="B33" s="2" t="str">
        <x:v>gpt_clean</x:v>
      </x:c>
      <x:c r="C33" s="2" t="n">
        <x:v>3</x:v>
      </x:c>
      <x:c r="D33" s="2" t="n">
        <x:f>SUMIFS('Grades'!$M$6:$M$1157,'Grades'!$B$6:$B$1157,A33,'Grades'!$C$6:$C$1157,B33,'Grades'!$D$6:$D$1157,C33)</x:f>
        <x:v>0</x:v>
      </x:c>
      <x:c r="E33" s="2" t="str">
        <x:f>IF(D33=8,SUMIFS('Grades'!$K$6:$K$1157,'Grades'!$B$6:$B$1157,A33,'Grades'!$C$6:$C$1157,B33,'Grades'!$D$6:$D$1157,C33),"")</x:f>
      </x:c>
      <x:c r="F33" s="11" t="str">
        <x:f>IF(ISNUMBER(E33),E33/8,"")</x:f>
      </x:c>
      <x:c r="G33" s="2" t="str">
        <x:f>IF(D33=8,SUMIFS('Grades'!$L$6:$L$1157,'Grades'!$B$6:$B$1157,A33,'Grades'!$C$6:$C$1157,B33,'Grades'!$D$6:$D$1157,C33),"")</x:f>
      </x:c>
      <x:c r="H33" s="11" t="str">
        <x:f>IF(ISNUMBER(G33),G33/8,"")</x:f>
      </x:c>
      <x:c r="I33" s="2" t="n">
        <x:f>COUNTIFS('Grades'!$B$6:$B$1157,A33,'Grades'!$C$6:$C$1157,B33,'Grades'!$D$6:$D$1157,C33,'Grades'!$K$6:$K$1157,"BLOCKED")</x:f>
        <x:v>0</x:v>
      </x:c>
    </x:row>
    <x:row r="34" ht="24" customHeight="1">
      <x:c r="A34" s="2" t="str">
        <x:v>S05</x:v>
      </x:c>
      <x:c r="B34" s="2" t="str">
        <x:v>gpt_clean</x:v>
      </x:c>
      <x:c r="C34" s="2" t="n">
        <x:v>3</x:v>
      </x:c>
      <x:c r="D34" s="2" t="n">
        <x:f>SUMIFS('Grades'!$M$6:$M$1157,'Grades'!$B$6:$B$1157,A34,'Grades'!$C$6:$C$1157,B34,'Grades'!$D$6:$D$1157,C34)</x:f>
        <x:v>0</x:v>
      </x:c>
      <x:c r="E34" s="2" t="str">
        <x:f>IF(D34=8,SUMIFS('Grades'!$K$6:$K$1157,'Grades'!$B$6:$B$1157,A34,'Grades'!$C$6:$C$1157,B34,'Grades'!$D$6:$D$1157,C34),"")</x:f>
      </x:c>
      <x:c r="F34" s="11" t="str">
        <x:f>IF(ISNUMBER(E34),E34/8,"")</x:f>
      </x:c>
      <x:c r="G34" s="2" t="str">
        <x:f>IF(D34=8,SUMIFS('Grades'!$L$6:$L$1157,'Grades'!$B$6:$B$1157,A34,'Grades'!$C$6:$C$1157,B34,'Grades'!$D$6:$D$1157,C34),"")</x:f>
      </x:c>
      <x:c r="H34" s="11" t="str">
        <x:f>IF(ISNUMBER(G34),G34/8,"")</x:f>
      </x:c>
      <x:c r="I34" s="2" t="n">
        <x:f>COUNTIFS('Grades'!$B$6:$B$1157,A34,'Grades'!$C$6:$C$1157,B34,'Grades'!$D$6:$D$1157,C34,'Grades'!$K$6:$K$1157,"BLOCKED")</x:f>
        <x:v>0</x:v>
      </x:c>
    </x:row>
    <x:row r="35" ht="24" customHeight="1">
      <x:c r="A35" s="2" t="str">
        <x:v>S06</x:v>
      </x:c>
      <x:c r="B35" s="2" t="str">
        <x:v>gpt_clean</x:v>
      </x:c>
      <x:c r="C35" s="2" t="n">
        <x:v>3</x:v>
      </x:c>
      <x:c r="D35" s="2" t="n">
        <x:f>SUMIFS('Grades'!$M$6:$M$1157,'Grades'!$B$6:$B$1157,A35,'Grades'!$C$6:$C$1157,B35,'Grades'!$D$6:$D$1157,C35)</x:f>
        <x:v>0</x:v>
      </x:c>
      <x:c r="E35" s="2" t="str">
        <x:f>IF(D35=8,SUMIFS('Grades'!$K$6:$K$1157,'Grades'!$B$6:$B$1157,A35,'Grades'!$C$6:$C$1157,B35,'Grades'!$D$6:$D$1157,C35),"")</x:f>
      </x:c>
      <x:c r="F35" s="11" t="str">
        <x:f>IF(ISNUMBER(E35),E35/8,"")</x:f>
      </x:c>
      <x:c r="G35" s="2" t="str">
        <x:f>IF(D35=8,SUMIFS('Grades'!$L$6:$L$1157,'Grades'!$B$6:$B$1157,A35,'Grades'!$C$6:$C$1157,B35,'Grades'!$D$6:$D$1157,C35),"")</x:f>
      </x:c>
      <x:c r="H35" s="11" t="str">
        <x:f>IF(ISNUMBER(G35),G35/8,"")</x:f>
      </x:c>
      <x:c r="I35" s="2" t="n">
        <x:f>COUNTIFS('Grades'!$B$6:$B$1157,A35,'Grades'!$C$6:$C$1157,B35,'Grades'!$D$6:$D$1157,C35,'Grades'!$K$6:$K$1157,"BLOCKED")</x:f>
        <x:v>0</x:v>
      </x:c>
    </x:row>
    <x:row r="36" ht="24" customHeight="1">
      <x:c r="A36" s="2" t="str">
        <x:v>S07</x:v>
      </x:c>
      <x:c r="B36" s="2" t="str">
        <x:v>gpt_clean</x:v>
      </x:c>
      <x:c r="C36" s="2" t="n">
        <x:v>3</x:v>
      </x:c>
      <x:c r="D36" s="2" t="n">
        <x:f>SUMIFS('Grades'!$M$6:$M$1157,'Grades'!$B$6:$B$1157,A36,'Grades'!$C$6:$C$1157,B36,'Grades'!$D$6:$D$1157,C36)</x:f>
        <x:v>0</x:v>
      </x:c>
      <x:c r="E36" s="2" t="str">
        <x:f>IF(D36=8,SUMIFS('Grades'!$K$6:$K$1157,'Grades'!$B$6:$B$1157,A36,'Grades'!$C$6:$C$1157,B36,'Grades'!$D$6:$D$1157,C36),"")</x:f>
      </x:c>
      <x:c r="F36" s="11" t="str">
        <x:f>IF(ISNUMBER(E36),E36/8,"")</x:f>
      </x:c>
      <x:c r="G36" s="2" t="str">
        <x:f>IF(D36=8,SUMIFS('Grades'!$L$6:$L$1157,'Grades'!$B$6:$B$1157,A36,'Grades'!$C$6:$C$1157,B36,'Grades'!$D$6:$D$1157,C36),"")</x:f>
      </x:c>
      <x:c r="H36" s="11" t="str">
        <x:f>IF(ISNUMBER(G36),G36/8,"")</x:f>
      </x:c>
      <x:c r="I36" s="2" t="n">
        <x:f>COUNTIFS('Grades'!$B$6:$B$1157,A36,'Grades'!$C$6:$C$1157,B36,'Grades'!$D$6:$D$1157,C36,'Grades'!$K$6:$K$1157,"BLOCKED")</x:f>
        <x:v>0</x:v>
      </x:c>
    </x:row>
    <x:row r="37" ht="24" customHeight="1">
      <x:c r="A37" s="2" t="str">
        <x:v>S08</x:v>
      </x:c>
      <x:c r="B37" s="2" t="str">
        <x:v>gpt_clean</x:v>
      </x:c>
      <x:c r="C37" s="2" t="n">
        <x:v>3</x:v>
      </x:c>
      <x:c r="D37" s="2" t="n">
        <x:f>SUMIFS('Grades'!$M$6:$M$1157,'Grades'!$B$6:$B$1157,A37,'Grades'!$C$6:$C$1157,B37,'Grades'!$D$6:$D$1157,C37)</x:f>
        <x:v>0</x:v>
      </x:c>
      <x:c r="E37" s="2" t="str">
        <x:f>IF(D37=8,SUMIFS('Grades'!$K$6:$K$1157,'Grades'!$B$6:$B$1157,A37,'Grades'!$C$6:$C$1157,B37,'Grades'!$D$6:$D$1157,C37),"")</x:f>
      </x:c>
      <x:c r="F37" s="11" t="str">
        <x:f>IF(ISNUMBER(E37),E37/8,"")</x:f>
      </x:c>
      <x:c r="G37" s="2" t="str">
        <x:f>IF(D37=8,SUMIFS('Grades'!$L$6:$L$1157,'Grades'!$B$6:$B$1157,A37,'Grades'!$C$6:$C$1157,B37,'Grades'!$D$6:$D$1157,C37),"")</x:f>
      </x:c>
      <x:c r="H37" s="11" t="str">
        <x:f>IF(ISNUMBER(G37),G37/8,"")</x:f>
      </x:c>
      <x:c r="I37" s="2" t="n">
        <x:f>COUNTIFS('Grades'!$B$6:$B$1157,A37,'Grades'!$C$6:$C$1157,B37,'Grades'!$D$6:$D$1157,C37,'Grades'!$K$6:$K$1157,"BLOCKED")</x:f>
        <x:v>0</x:v>
      </x:c>
    </x:row>
    <x:row r="38" ht="24" customHeight="1">
      <x:c r="A38" s="2" t="str">
        <x:v>S09</x:v>
      </x:c>
      <x:c r="B38" s="2" t="str">
        <x:v>gpt_clean</x:v>
      </x:c>
      <x:c r="C38" s="2" t="n">
        <x:v>3</x:v>
      </x:c>
      <x:c r="D38" s="2" t="n">
        <x:f>SUMIFS('Grades'!$M$6:$M$1157,'Grades'!$B$6:$B$1157,A38,'Grades'!$C$6:$C$1157,B38,'Grades'!$D$6:$D$1157,C38)</x:f>
        <x:v>0</x:v>
      </x:c>
      <x:c r="E38" s="2" t="str">
        <x:f>IF(D38=8,SUMIFS('Grades'!$K$6:$K$1157,'Grades'!$B$6:$B$1157,A38,'Grades'!$C$6:$C$1157,B38,'Grades'!$D$6:$D$1157,C38),"")</x:f>
      </x:c>
      <x:c r="F38" s="11" t="str">
        <x:f>IF(ISNUMBER(E38),E38/8,"")</x:f>
      </x:c>
      <x:c r="G38" s="2" t="str">
        <x:f>IF(D38=8,SUMIFS('Grades'!$L$6:$L$1157,'Grades'!$B$6:$B$1157,A38,'Grades'!$C$6:$C$1157,B38,'Grades'!$D$6:$D$1157,C38),"")</x:f>
      </x:c>
      <x:c r="H38" s="11" t="str">
        <x:f>IF(ISNUMBER(G38),G38/8,"")</x:f>
      </x:c>
      <x:c r="I38" s="2" t="n">
        <x:f>COUNTIFS('Grades'!$B$6:$B$1157,A38,'Grades'!$C$6:$C$1157,B38,'Grades'!$D$6:$D$1157,C38,'Grades'!$K$6:$K$1157,"BLOCKED")</x:f>
        <x:v>0</x:v>
      </x:c>
    </x:row>
    <x:row r="39" ht="24" customHeight="1">
      <x:c r="A39" s="2" t="str">
        <x:v>S10</x:v>
      </x:c>
      <x:c r="B39" s="2" t="str">
        <x:v>gpt_clean</x:v>
      </x:c>
      <x:c r="C39" s="2" t="n">
        <x:v>3</x:v>
      </x:c>
      <x:c r="D39" s="2" t="n">
        <x:f>SUMIFS('Grades'!$M$6:$M$1157,'Grades'!$B$6:$B$1157,A39,'Grades'!$C$6:$C$1157,B39,'Grades'!$D$6:$D$1157,C39)</x:f>
        <x:v>0</x:v>
      </x:c>
      <x:c r="E39" s="2" t="str">
        <x:f>IF(D39=8,SUMIFS('Grades'!$K$6:$K$1157,'Grades'!$B$6:$B$1157,A39,'Grades'!$C$6:$C$1157,B39,'Grades'!$D$6:$D$1157,C39),"")</x:f>
      </x:c>
      <x:c r="F39" s="11" t="str">
        <x:f>IF(ISNUMBER(E39),E39/8,"")</x:f>
      </x:c>
      <x:c r="G39" s="2" t="str">
        <x:f>IF(D39=8,SUMIFS('Grades'!$L$6:$L$1157,'Grades'!$B$6:$B$1157,A39,'Grades'!$C$6:$C$1157,B39,'Grades'!$D$6:$D$1157,C39),"")</x:f>
      </x:c>
      <x:c r="H39" s="11" t="str">
        <x:f>IF(ISNUMBER(G39),G39/8,"")</x:f>
      </x:c>
      <x:c r="I39" s="2" t="n">
        <x:f>COUNTIFS('Grades'!$B$6:$B$1157,A39,'Grades'!$C$6:$C$1157,B39,'Grades'!$D$6:$D$1157,C39,'Grades'!$K$6:$K$1157,"BLOCKED")</x:f>
        <x:v>0</x:v>
      </x:c>
    </x:row>
    <x:row r="40" ht="24" customHeight="1">
      <x:c r="A40" s="2" t="str">
        <x:v>S11</x:v>
      </x:c>
      <x:c r="B40" s="2" t="str">
        <x:v>gpt_clean</x:v>
      </x:c>
      <x:c r="C40" s="2" t="n">
        <x:v>3</x:v>
      </x:c>
      <x:c r="D40" s="2" t="n">
        <x:f>SUMIFS('Grades'!$M$6:$M$1157,'Grades'!$B$6:$B$1157,A40,'Grades'!$C$6:$C$1157,B40,'Grades'!$D$6:$D$1157,C40)</x:f>
        <x:v>0</x:v>
      </x:c>
      <x:c r="E40" s="2" t="str">
        <x:f>IF(D40=8,SUMIFS('Grades'!$K$6:$K$1157,'Grades'!$B$6:$B$1157,A40,'Grades'!$C$6:$C$1157,B40,'Grades'!$D$6:$D$1157,C40),"")</x:f>
      </x:c>
      <x:c r="F40" s="11" t="str">
        <x:f>IF(ISNUMBER(E40),E40/8,"")</x:f>
      </x:c>
      <x:c r="G40" s="2" t="str">
        <x:f>IF(D40=8,SUMIFS('Grades'!$L$6:$L$1157,'Grades'!$B$6:$B$1157,A40,'Grades'!$C$6:$C$1157,B40,'Grades'!$D$6:$D$1157,C40),"")</x:f>
      </x:c>
      <x:c r="H40" s="11" t="str">
        <x:f>IF(ISNUMBER(G40),G40/8,"")</x:f>
      </x:c>
      <x:c r="I40" s="2" t="n">
        <x:f>COUNTIFS('Grades'!$B$6:$B$1157,A40,'Grades'!$C$6:$C$1157,B40,'Grades'!$D$6:$D$1157,C40,'Grades'!$K$6:$K$1157,"BLOCKED")</x:f>
        <x:v>0</x:v>
      </x:c>
    </x:row>
    <x:row r="41" ht="24" customHeight="1">
      <x:c r="A41" s="2" t="str">
        <x:v>S12</x:v>
      </x:c>
      <x:c r="B41" s="2" t="str">
        <x:v>gpt_clean</x:v>
      </x:c>
      <x:c r="C41" s="2" t="n">
        <x:v>3</x:v>
      </x:c>
      <x:c r="D41" s="2" t="n">
        <x:f>SUMIFS('Grades'!$M$6:$M$1157,'Grades'!$B$6:$B$1157,A41,'Grades'!$C$6:$C$1157,B41,'Grades'!$D$6:$D$1157,C41)</x:f>
        <x:v>0</x:v>
      </x:c>
      <x:c r="E41" s="2" t="str">
        <x:f>IF(D41=8,SUMIFS('Grades'!$K$6:$K$1157,'Grades'!$B$6:$B$1157,A41,'Grades'!$C$6:$C$1157,B41,'Grades'!$D$6:$D$1157,C41),"")</x:f>
      </x:c>
      <x:c r="F41" s="11" t="str">
        <x:f>IF(ISNUMBER(E41),E41/8,"")</x:f>
      </x:c>
      <x:c r="G41" s="2" t="str">
        <x:f>IF(D41=8,SUMIFS('Grades'!$L$6:$L$1157,'Grades'!$B$6:$B$1157,A41,'Grades'!$C$6:$C$1157,B41,'Grades'!$D$6:$D$1157,C41),"")</x:f>
      </x:c>
      <x:c r="H41" s="11" t="str">
        <x:f>IF(ISNUMBER(G41),G41/8,"")</x:f>
      </x:c>
      <x:c r="I41" s="2" t="n">
        <x:f>COUNTIFS('Grades'!$B$6:$B$1157,A41,'Grades'!$C$6:$C$1157,B41,'Grades'!$D$6:$D$1157,C41,'Grades'!$K$6:$K$1157,"BLOCKED")</x:f>
        <x:v>0</x:v>
      </x:c>
    </x:row>
    <x:row r="42" ht="24" customHeight="1">
      <x:c r="A42" s="2" t="str">
        <x:v>S01</x:v>
      </x:c>
      <x:c r="B42" s="2" t="str">
        <x:v>gpt_connected</x:v>
      </x:c>
      <x:c r="C42" s="2" t="n">
        <x:v>1</x:v>
      </x:c>
      <x:c r="D42" s="2" t="n">
        <x:f>SUMIFS('Grades'!$M$6:$M$1157,'Grades'!$B$6:$B$1157,A42,'Grades'!$C$6:$C$1157,B42,'Grades'!$D$6:$D$1157,C42)</x:f>
        <x:v>0</x:v>
      </x:c>
      <x:c r="E42" s="2" t="str">
        <x:f>IF(D42=8,SUMIFS('Grades'!$K$6:$K$1157,'Grades'!$B$6:$B$1157,A42,'Grades'!$C$6:$C$1157,B42,'Grades'!$D$6:$D$1157,C42),"")</x:f>
      </x:c>
      <x:c r="F42" s="11" t="str">
        <x:f>IF(ISNUMBER(E42),E42/8,"")</x:f>
      </x:c>
      <x:c r="G42" s="2" t="str">
        <x:f>IF(D42=8,SUMIFS('Grades'!$L$6:$L$1157,'Grades'!$B$6:$B$1157,A42,'Grades'!$C$6:$C$1157,B42,'Grades'!$D$6:$D$1157,C42),"")</x:f>
      </x:c>
      <x:c r="H42" s="11" t="str">
        <x:f>IF(ISNUMBER(G42),G42/8,"")</x:f>
      </x:c>
      <x:c r="I42" s="2" t="n">
        <x:f>COUNTIFS('Grades'!$B$6:$B$1157,A42,'Grades'!$C$6:$C$1157,B42,'Grades'!$D$6:$D$1157,C42,'Grades'!$K$6:$K$1157,"BLOCKED")</x:f>
        <x:v>0</x:v>
      </x:c>
    </x:row>
    <x:row r="43" ht="24" customHeight="1">
      <x:c r="A43" s="2" t="str">
        <x:v>S02</x:v>
      </x:c>
      <x:c r="B43" s="2" t="str">
        <x:v>gpt_connected</x:v>
      </x:c>
      <x:c r="C43" s="2" t="n">
        <x:v>1</x:v>
      </x:c>
      <x:c r="D43" s="2" t="n">
        <x:f>SUMIFS('Grades'!$M$6:$M$1157,'Grades'!$B$6:$B$1157,A43,'Grades'!$C$6:$C$1157,B43,'Grades'!$D$6:$D$1157,C43)</x:f>
        <x:v>0</x:v>
      </x:c>
      <x:c r="E43" s="2" t="str">
        <x:f>IF(D43=8,SUMIFS('Grades'!$K$6:$K$1157,'Grades'!$B$6:$B$1157,A43,'Grades'!$C$6:$C$1157,B43,'Grades'!$D$6:$D$1157,C43),"")</x:f>
      </x:c>
      <x:c r="F43" s="11" t="str">
        <x:f>IF(ISNUMBER(E43),E43/8,"")</x:f>
      </x:c>
      <x:c r="G43" s="2" t="str">
        <x:f>IF(D43=8,SUMIFS('Grades'!$L$6:$L$1157,'Grades'!$B$6:$B$1157,A43,'Grades'!$C$6:$C$1157,B43,'Grades'!$D$6:$D$1157,C43),"")</x:f>
      </x:c>
      <x:c r="H43" s="11" t="str">
        <x:f>IF(ISNUMBER(G43),G43/8,"")</x:f>
      </x:c>
      <x:c r="I43" s="2" t="n">
        <x:f>COUNTIFS('Grades'!$B$6:$B$1157,A43,'Grades'!$C$6:$C$1157,B43,'Grades'!$D$6:$D$1157,C43,'Grades'!$K$6:$K$1157,"BLOCKED")</x:f>
        <x:v>0</x:v>
      </x:c>
    </x:row>
    <x:row r="44" ht="24" customHeight="1">
      <x:c r="A44" s="2" t="str">
        <x:v>S03</x:v>
      </x:c>
      <x:c r="B44" s="2" t="str">
        <x:v>gpt_connected</x:v>
      </x:c>
      <x:c r="C44" s="2" t="n">
        <x:v>1</x:v>
      </x:c>
      <x:c r="D44" s="2" t="n">
        <x:f>SUMIFS('Grades'!$M$6:$M$1157,'Grades'!$B$6:$B$1157,A44,'Grades'!$C$6:$C$1157,B44,'Grades'!$D$6:$D$1157,C44)</x:f>
        <x:v>0</x:v>
      </x:c>
      <x:c r="E44" s="2" t="str">
        <x:f>IF(D44=8,SUMIFS('Grades'!$K$6:$K$1157,'Grades'!$B$6:$B$1157,A44,'Grades'!$C$6:$C$1157,B44,'Grades'!$D$6:$D$1157,C44),"")</x:f>
      </x:c>
      <x:c r="F44" s="11" t="str">
        <x:f>IF(ISNUMBER(E44),E44/8,"")</x:f>
      </x:c>
      <x:c r="G44" s="2" t="str">
        <x:f>IF(D44=8,SUMIFS('Grades'!$L$6:$L$1157,'Grades'!$B$6:$B$1157,A44,'Grades'!$C$6:$C$1157,B44,'Grades'!$D$6:$D$1157,C44),"")</x:f>
      </x:c>
      <x:c r="H44" s="11" t="str">
        <x:f>IF(ISNUMBER(G44),G44/8,"")</x:f>
      </x:c>
      <x:c r="I44" s="2" t="n">
        <x:f>COUNTIFS('Grades'!$B$6:$B$1157,A44,'Grades'!$C$6:$C$1157,B44,'Grades'!$D$6:$D$1157,C44,'Grades'!$K$6:$K$1157,"BLOCKED")</x:f>
        <x:v>0</x:v>
      </x:c>
    </x:row>
    <x:row r="45" ht="24" customHeight="1">
      <x:c r="A45" s="2" t="str">
        <x:v>S04</x:v>
      </x:c>
      <x:c r="B45" s="2" t="str">
        <x:v>gpt_connected</x:v>
      </x:c>
      <x:c r="C45" s="2" t="n">
        <x:v>1</x:v>
      </x:c>
      <x:c r="D45" s="2" t="n">
        <x:f>SUMIFS('Grades'!$M$6:$M$1157,'Grades'!$B$6:$B$1157,A45,'Grades'!$C$6:$C$1157,B45,'Grades'!$D$6:$D$1157,C45)</x:f>
        <x:v>0</x:v>
      </x:c>
      <x:c r="E45" s="2" t="str">
        <x:f>IF(D45=8,SUMIFS('Grades'!$K$6:$K$1157,'Grades'!$B$6:$B$1157,A45,'Grades'!$C$6:$C$1157,B45,'Grades'!$D$6:$D$1157,C45),"")</x:f>
      </x:c>
      <x:c r="F45" s="11" t="str">
        <x:f>IF(ISNUMBER(E45),E45/8,"")</x:f>
      </x:c>
      <x:c r="G45" s="2" t="str">
        <x:f>IF(D45=8,SUMIFS('Grades'!$L$6:$L$1157,'Grades'!$B$6:$B$1157,A45,'Grades'!$C$6:$C$1157,B45,'Grades'!$D$6:$D$1157,C45),"")</x:f>
      </x:c>
      <x:c r="H45" s="11" t="str">
        <x:f>IF(ISNUMBER(G45),G45/8,"")</x:f>
      </x:c>
      <x:c r="I45" s="2" t="n">
        <x:f>COUNTIFS('Grades'!$B$6:$B$1157,A45,'Grades'!$C$6:$C$1157,B45,'Grades'!$D$6:$D$1157,C45,'Grades'!$K$6:$K$1157,"BLOCKED")</x:f>
        <x:v>0</x:v>
      </x:c>
    </x:row>
    <x:row r="46" ht="24" customHeight="1">
      <x:c r="A46" s="2" t="str">
        <x:v>S05</x:v>
      </x:c>
      <x:c r="B46" s="2" t="str">
        <x:v>gpt_connected</x:v>
      </x:c>
      <x:c r="C46" s="2" t="n">
        <x:v>1</x:v>
      </x:c>
      <x:c r="D46" s="2" t="n">
        <x:f>SUMIFS('Grades'!$M$6:$M$1157,'Grades'!$B$6:$B$1157,A46,'Grades'!$C$6:$C$1157,B46,'Grades'!$D$6:$D$1157,C46)</x:f>
        <x:v>0</x:v>
      </x:c>
      <x:c r="E46" s="2" t="str">
        <x:f>IF(D46=8,SUMIFS('Grades'!$K$6:$K$1157,'Grades'!$B$6:$B$1157,A46,'Grades'!$C$6:$C$1157,B46,'Grades'!$D$6:$D$1157,C46),"")</x:f>
      </x:c>
      <x:c r="F46" s="11" t="str">
        <x:f>IF(ISNUMBER(E46),E46/8,"")</x:f>
      </x:c>
      <x:c r="G46" s="2" t="str">
        <x:f>IF(D46=8,SUMIFS('Grades'!$L$6:$L$1157,'Grades'!$B$6:$B$1157,A46,'Grades'!$C$6:$C$1157,B46,'Grades'!$D$6:$D$1157,C46),"")</x:f>
      </x:c>
      <x:c r="H46" s="11" t="str">
        <x:f>IF(ISNUMBER(G46),G46/8,"")</x:f>
      </x:c>
      <x:c r="I46" s="2" t="n">
        <x:f>COUNTIFS('Grades'!$B$6:$B$1157,A46,'Grades'!$C$6:$C$1157,B46,'Grades'!$D$6:$D$1157,C46,'Grades'!$K$6:$K$1157,"BLOCKED")</x:f>
        <x:v>0</x:v>
      </x:c>
    </x:row>
    <x:row r="47" ht="24" customHeight="1">
      <x:c r="A47" s="2" t="str">
        <x:v>S06</x:v>
      </x:c>
      <x:c r="B47" s="2" t="str">
        <x:v>gpt_connected</x:v>
      </x:c>
      <x:c r="C47" s="2" t="n">
        <x:v>1</x:v>
      </x:c>
      <x:c r="D47" s="2" t="n">
        <x:f>SUMIFS('Grades'!$M$6:$M$1157,'Grades'!$B$6:$B$1157,A47,'Grades'!$C$6:$C$1157,B47,'Grades'!$D$6:$D$1157,C47)</x:f>
        <x:v>0</x:v>
      </x:c>
      <x:c r="E47" s="2" t="str">
        <x:f>IF(D47=8,SUMIFS('Grades'!$K$6:$K$1157,'Grades'!$B$6:$B$1157,A47,'Grades'!$C$6:$C$1157,B47,'Grades'!$D$6:$D$1157,C47),"")</x:f>
      </x:c>
      <x:c r="F47" s="11" t="str">
        <x:f>IF(ISNUMBER(E47),E47/8,"")</x:f>
      </x:c>
      <x:c r="G47" s="2" t="str">
        <x:f>IF(D47=8,SUMIFS('Grades'!$L$6:$L$1157,'Grades'!$B$6:$B$1157,A47,'Grades'!$C$6:$C$1157,B47,'Grades'!$D$6:$D$1157,C47),"")</x:f>
      </x:c>
      <x:c r="H47" s="11" t="str">
        <x:f>IF(ISNUMBER(G47),G47/8,"")</x:f>
      </x:c>
      <x:c r="I47" s="2" t="n">
        <x:f>COUNTIFS('Grades'!$B$6:$B$1157,A47,'Grades'!$C$6:$C$1157,B47,'Grades'!$D$6:$D$1157,C47,'Grades'!$K$6:$K$1157,"BLOCKED")</x:f>
        <x:v>0</x:v>
      </x:c>
    </x:row>
    <x:row r="48" ht="24" customHeight="1">
      <x:c r="A48" s="2" t="str">
        <x:v>S07</x:v>
      </x:c>
      <x:c r="B48" s="2" t="str">
        <x:v>gpt_connected</x:v>
      </x:c>
      <x:c r="C48" s="2" t="n">
        <x:v>1</x:v>
      </x:c>
      <x:c r="D48" s="2" t="n">
        <x:f>SUMIFS('Grades'!$M$6:$M$1157,'Grades'!$B$6:$B$1157,A48,'Grades'!$C$6:$C$1157,B48,'Grades'!$D$6:$D$1157,C48)</x:f>
        <x:v>0</x:v>
      </x:c>
      <x:c r="E48" s="2" t="str">
        <x:f>IF(D48=8,SUMIFS('Grades'!$K$6:$K$1157,'Grades'!$B$6:$B$1157,A48,'Grades'!$C$6:$C$1157,B48,'Grades'!$D$6:$D$1157,C48),"")</x:f>
      </x:c>
      <x:c r="F48" s="11" t="str">
        <x:f>IF(ISNUMBER(E48),E48/8,"")</x:f>
      </x:c>
      <x:c r="G48" s="2" t="str">
        <x:f>IF(D48=8,SUMIFS('Grades'!$L$6:$L$1157,'Grades'!$B$6:$B$1157,A48,'Grades'!$C$6:$C$1157,B48,'Grades'!$D$6:$D$1157,C48),"")</x:f>
      </x:c>
      <x:c r="H48" s="11" t="str">
        <x:f>IF(ISNUMBER(G48),G48/8,"")</x:f>
      </x:c>
      <x:c r="I48" s="2" t="n">
        <x:f>COUNTIFS('Grades'!$B$6:$B$1157,A48,'Grades'!$C$6:$C$1157,B48,'Grades'!$D$6:$D$1157,C48,'Grades'!$K$6:$K$1157,"BLOCKED")</x:f>
        <x:v>0</x:v>
      </x:c>
    </x:row>
    <x:row r="49" ht="24" customHeight="1">
      <x:c r="A49" s="2" t="str">
        <x:v>S08</x:v>
      </x:c>
      <x:c r="B49" s="2" t="str">
        <x:v>gpt_connected</x:v>
      </x:c>
      <x:c r="C49" s="2" t="n">
        <x:v>1</x:v>
      </x:c>
      <x:c r="D49" s="2" t="n">
        <x:f>SUMIFS('Grades'!$M$6:$M$1157,'Grades'!$B$6:$B$1157,A49,'Grades'!$C$6:$C$1157,B49,'Grades'!$D$6:$D$1157,C49)</x:f>
        <x:v>0</x:v>
      </x:c>
      <x:c r="E49" s="2" t="str">
        <x:f>IF(D49=8,SUMIFS('Grades'!$K$6:$K$1157,'Grades'!$B$6:$B$1157,A49,'Grades'!$C$6:$C$1157,B49,'Grades'!$D$6:$D$1157,C49),"")</x:f>
      </x:c>
      <x:c r="F49" s="11" t="str">
        <x:f>IF(ISNUMBER(E49),E49/8,"")</x:f>
      </x:c>
      <x:c r="G49" s="2" t="str">
        <x:f>IF(D49=8,SUMIFS('Grades'!$L$6:$L$1157,'Grades'!$B$6:$B$1157,A49,'Grades'!$C$6:$C$1157,B49,'Grades'!$D$6:$D$1157,C49),"")</x:f>
      </x:c>
      <x:c r="H49" s="11" t="str">
        <x:f>IF(ISNUMBER(G49),G49/8,"")</x:f>
      </x:c>
      <x:c r="I49" s="2" t="n">
        <x:f>COUNTIFS('Grades'!$B$6:$B$1157,A49,'Grades'!$C$6:$C$1157,B49,'Grades'!$D$6:$D$1157,C49,'Grades'!$K$6:$K$1157,"BLOCKED")</x:f>
        <x:v>0</x:v>
      </x:c>
    </x:row>
    <x:row r="50" ht="24" customHeight="1">
      <x:c r="A50" s="2" t="str">
        <x:v>S09</x:v>
      </x:c>
      <x:c r="B50" s="2" t="str">
        <x:v>gpt_connected</x:v>
      </x:c>
      <x:c r="C50" s="2" t="n">
        <x:v>1</x:v>
      </x:c>
      <x:c r="D50" s="2" t="n">
        <x:f>SUMIFS('Grades'!$M$6:$M$1157,'Grades'!$B$6:$B$1157,A50,'Grades'!$C$6:$C$1157,B50,'Grades'!$D$6:$D$1157,C50)</x:f>
        <x:v>0</x:v>
      </x:c>
      <x:c r="E50" s="2" t="str">
        <x:f>IF(D50=8,SUMIFS('Grades'!$K$6:$K$1157,'Grades'!$B$6:$B$1157,A50,'Grades'!$C$6:$C$1157,B50,'Grades'!$D$6:$D$1157,C50),"")</x:f>
      </x:c>
      <x:c r="F50" s="11" t="str">
        <x:f>IF(ISNUMBER(E50),E50/8,"")</x:f>
      </x:c>
      <x:c r="G50" s="2" t="str">
        <x:f>IF(D50=8,SUMIFS('Grades'!$L$6:$L$1157,'Grades'!$B$6:$B$1157,A50,'Grades'!$C$6:$C$1157,B50,'Grades'!$D$6:$D$1157,C50),"")</x:f>
      </x:c>
      <x:c r="H50" s="11" t="str">
        <x:f>IF(ISNUMBER(G50),G50/8,"")</x:f>
      </x:c>
      <x:c r="I50" s="2" t="n">
        <x:f>COUNTIFS('Grades'!$B$6:$B$1157,A50,'Grades'!$C$6:$C$1157,B50,'Grades'!$D$6:$D$1157,C50,'Grades'!$K$6:$K$1157,"BLOCKED")</x:f>
        <x:v>0</x:v>
      </x:c>
    </x:row>
    <x:row r="51" ht="24" customHeight="1">
      <x:c r="A51" s="2" t="str">
        <x:v>S10</x:v>
      </x:c>
      <x:c r="B51" s="2" t="str">
        <x:v>gpt_connected</x:v>
      </x:c>
      <x:c r="C51" s="2" t="n">
        <x:v>1</x:v>
      </x:c>
      <x:c r="D51" s="2" t="n">
        <x:f>SUMIFS('Grades'!$M$6:$M$1157,'Grades'!$B$6:$B$1157,A51,'Grades'!$C$6:$C$1157,B51,'Grades'!$D$6:$D$1157,C51)</x:f>
        <x:v>0</x:v>
      </x:c>
      <x:c r="E51" s="2" t="str">
        <x:f>IF(D51=8,SUMIFS('Grades'!$K$6:$K$1157,'Grades'!$B$6:$B$1157,A51,'Grades'!$C$6:$C$1157,B51,'Grades'!$D$6:$D$1157,C51),"")</x:f>
      </x:c>
      <x:c r="F51" s="11" t="str">
        <x:f>IF(ISNUMBER(E51),E51/8,"")</x:f>
      </x:c>
      <x:c r="G51" s="2" t="str">
        <x:f>IF(D51=8,SUMIFS('Grades'!$L$6:$L$1157,'Grades'!$B$6:$B$1157,A51,'Grades'!$C$6:$C$1157,B51,'Grades'!$D$6:$D$1157,C51),"")</x:f>
      </x:c>
      <x:c r="H51" s="11" t="str">
        <x:f>IF(ISNUMBER(G51),G51/8,"")</x:f>
      </x:c>
      <x:c r="I51" s="2" t="n">
        <x:f>COUNTIFS('Grades'!$B$6:$B$1157,A51,'Grades'!$C$6:$C$1157,B51,'Grades'!$D$6:$D$1157,C51,'Grades'!$K$6:$K$1157,"BLOCKED")</x:f>
        <x:v>0</x:v>
      </x:c>
    </x:row>
    <x:row r="52" ht="24" customHeight="1">
      <x:c r="A52" s="2" t="str">
        <x:v>S11</x:v>
      </x:c>
      <x:c r="B52" s="2" t="str">
        <x:v>gpt_connected</x:v>
      </x:c>
      <x:c r="C52" s="2" t="n">
        <x:v>1</x:v>
      </x:c>
      <x:c r="D52" s="2" t="n">
        <x:f>SUMIFS('Grades'!$M$6:$M$1157,'Grades'!$B$6:$B$1157,A52,'Grades'!$C$6:$C$1157,B52,'Grades'!$D$6:$D$1157,C52)</x:f>
        <x:v>0</x:v>
      </x:c>
      <x:c r="E52" s="2" t="str">
        <x:f>IF(D52=8,SUMIFS('Grades'!$K$6:$K$1157,'Grades'!$B$6:$B$1157,A52,'Grades'!$C$6:$C$1157,B52,'Grades'!$D$6:$D$1157,C52),"")</x:f>
      </x:c>
      <x:c r="F52" s="11" t="str">
        <x:f>IF(ISNUMBER(E52),E52/8,"")</x:f>
      </x:c>
      <x:c r="G52" s="2" t="str">
        <x:f>IF(D52=8,SUMIFS('Grades'!$L$6:$L$1157,'Grades'!$B$6:$B$1157,A52,'Grades'!$C$6:$C$1157,B52,'Grades'!$D$6:$D$1157,C52),"")</x:f>
      </x:c>
      <x:c r="H52" s="11" t="str">
        <x:f>IF(ISNUMBER(G52),G52/8,"")</x:f>
      </x:c>
      <x:c r="I52" s="2" t="n">
        <x:f>COUNTIFS('Grades'!$B$6:$B$1157,A52,'Grades'!$C$6:$C$1157,B52,'Grades'!$D$6:$D$1157,C52,'Grades'!$K$6:$K$1157,"BLOCKED")</x:f>
        <x:v>0</x:v>
      </x:c>
    </x:row>
    <x:row r="53" ht="24" customHeight="1">
      <x:c r="A53" s="2" t="str">
        <x:v>S12</x:v>
      </x:c>
      <x:c r="B53" s="2" t="str">
        <x:v>gpt_connected</x:v>
      </x:c>
      <x:c r="C53" s="2" t="n">
        <x:v>1</x:v>
      </x:c>
      <x:c r="D53" s="2" t="n">
        <x:f>SUMIFS('Grades'!$M$6:$M$1157,'Grades'!$B$6:$B$1157,A53,'Grades'!$C$6:$C$1157,B53,'Grades'!$D$6:$D$1157,C53)</x:f>
        <x:v>0</x:v>
      </x:c>
      <x:c r="E53" s="2" t="str">
        <x:f>IF(D53=8,SUMIFS('Grades'!$K$6:$K$1157,'Grades'!$B$6:$B$1157,A53,'Grades'!$C$6:$C$1157,B53,'Grades'!$D$6:$D$1157,C53),"")</x:f>
      </x:c>
      <x:c r="F53" s="11" t="str">
        <x:f>IF(ISNUMBER(E53),E53/8,"")</x:f>
      </x:c>
      <x:c r="G53" s="2" t="str">
        <x:f>IF(D53=8,SUMIFS('Grades'!$L$6:$L$1157,'Grades'!$B$6:$B$1157,A53,'Grades'!$C$6:$C$1157,B53,'Grades'!$D$6:$D$1157,C53),"")</x:f>
      </x:c>
      <x:c r="H53" s="11" t="str">
        <x:f>IF(ISNUMBER(G53),G53/8,"")</x:f>
      </x:c>
      <x:c r="I53" s="2" t="n">
        <x:f>COUNTIFS('Grades'!$B$6:$B$1157,A53,'Grades'!$C$6:$C$1157,B53,'Grades'!$D$6:$D$1157,C53,'Grades'!$K$6:$K$1157,"BLOCKED")</x:f>
        <x:v>0</x:v>
      </x:c>
    </x:row>
    <x:row r="54" ht="24" customHeight="1">
      <x:c r="A54" s="2" t="str">
        <x:v>S01</x:v>
      </x:c>
      <x:c r="B54" s="2" t="str">
        <x:v>gpt_connected</x:v>
      </x:c>
      <x:c r="C54" s="2" t="n">
        <x:v>2</x:v>
      </x:c>
      <x:c r="D54" s="2" t="n">
        <x:f>SUMIFS('Grades'!$M$6:$M$1157,'Grades'!$B$6:$B$1157,A54,'Grades'!$C$6:$C$1157,B54,'Grades'!$D$6:$D$1157,C54)</x:f>
        <x:v>0</x:v>
      </x:c>
      <x:c r="E54" s="2" t="str">
        <x:f>IF(D54=8,SUMIFS('Grades'!$K$6:$K$1157,'Grades'!$B$6:$B$1157,A54,'Grades'!$C$6:$C$1157,B54,'Grades'!$D$6:$D$1157,C54),"")</x:f>
      </x:c>
      <x:c r="F54" s="11" t="str">
        <x:f>IF(ISNUMBER(E54),E54/8,"")</x:f>
      </x:c>
      <x:c r="G54" s="2" t="str">
        <x:f>IF(D54=8,SUMIFS('Grades'!$L$6:$L$1157,'Grades'!$B$6:$B$1157,A54,'Grades'!$C$6:$C$1157,B54,'Grades'!$D$6:$D$1157,C54),"")</x:f>
      </x:c>
      <x:c r="H54" s="11" t="str">
        <x:f>IF(ISNUMBER(G54),G54/8,"")</x:f>
      </x:c>
      <x:c r="I54" s="2" t="n">
        <x:f>COUNTIFS('Grades'!$B$6:$B$1157,A54,'Grades'!$C$6:$C$1157,B54,'Grades'!$D$6:$D$1157,C54,'Grades'!$K$6:$K$1157,"BLOCKED")</x:f>
        <x:v>0</x:v>
      </x:c>
    </x:row>
    <x:row r="55" ht="24" customHeight="1">
      <x:c r="A55" s="2" t="str">
        <x:v>S02</x:v>
      </x:c>
      <x:c r="B55" s="2" t="str">
        <x:v>gpt_connected</x:v>
      </x:c>
      <x:c r="C55" s="2" t="n">
        <x:v>2</x:v>
      </x:c>
      <x:c r="D55" s="2" t="n">
        <x:f>SUMIFS('Grades'!$M$6:$M$1157,'Grades'!$B$6:$B$1157,A55,'Grades'!$C$6:$C$1157,B55,'Grades'!$D$6:$D$1157,C55)</x:f>
        <x:v>0</x:v>
      </x:c>
      <x:c r="E55" s="2" t="str">
        <x:f>IF(D55=8,SUMIFS('Grades'!$K$6:$K$1157,'Grades'!$B$6:$B$1157,A55,'Grades'!$C$6:$C$1157,B55,'Grades'!$D$6:$D$1157,C55),"")</x:f>
      </x:c>
      <x:c r="F55" s="11" t="str">
        <x:f>IF(ISNUMBER(E55),E55/8,"")</x:f>
      </x:c>
      <x:c r="G55" s="2" t="str">
        <x:f>IF(D55=8,SUMIFS('Grades'!$L$6:$L$1157,'Grades'!$B$6:$B$1157,A55,'Grades'!$C$6:$C$1157,B55,'Grades'!$D$6:$D$1157,C55),"")</x:f>
      </x:c>
      <x:c r="H55" s="11" t="str">
        <x:f>IF(ISNUMBER(G55),G55/8,"")</x:f>
      </x:c>
      <x:c r="I55" s="2" t="n">
        <x:f>COUNTIFS('Grades'!$B$6:$B$1157,A55,'Grades'!$C$6:$C$1157,B55,'Grades'!$D$6:$D$1157,C55,'Grades'!$K$6:$K$1157,"BLOCKED")</x:f>
        <x:v>0</x:v>
      </x:c>
    </x:row>
    <x:row r="56" ht="24" customHeight="1">
      <x:c r="A56" s="2" t="str">
        <x:v>S03</x:v>
      </x:c>
      <x:c r="B56" s="2" t="str">
        <x:v>gpt_connected</x:v>
      </x:c>
      <x:c r="C56" s="2" t="n">
        <x:v>2</x:v>
      </x:c>
      <x:c r="D56" s="2" t="n">
        <x:f>SUMIFS('Grades'!$M$6:$M$1157,'Grades'!$B$6:$B$1157,A56,'Grades'!$C$6:$C$1157,B56,'Grades'!$D$6:$D$1157,C56)</x:f>
        <x:v>0</x:v>
      </x:c>
      <x:c r="E56" s="2" t="str">
        <x:f>IF(D56=8,SUMIFS('Grades'!$K$6:$K$1157,'Grades'!$B$6:$B$1157,A56,'Grades'!$C$6:$C$1157,B56,'Grades'!$D$6:$D$1157,C56),"")</x:f>
      </x:c>
      <x:c r="F56" s="11" t="str">
        <x:f>IF(ISNUMBER(E56),E56/8,"")</x:f>
      </x:c>
      <x:c r="G56" s="2" t="str">
        <x:f>IF(D56=8,SUMIFS('Grades'!$L$6:$L$1157,'Grades'!$B$6:$B$1157,A56,'Grades'!$C$6:$C$1157,B56,'Grades'!$D$6:$D$1157,C56),"")</x:f>
      </x:c>
      <x:c r="H56" s="11" t="str">
        <x:f>IF(ISNUMBER(G56),G56/8,"")</x:f>
      </x:c>
      <x:c r="I56" s="2" t="n">
        <x:f>COUNTIFS('Grades'!$B$6:$B$1157,A56,'Grades'!$C$6:$C$1157,B56,'Grades'!$D$6:$D$1157,C56,'Grades'!$K$6:$K$1157,"BLOCKED")</x:f>
        <x:v>0</x:v>
      </x:c>
    </x:row>
    <x:row r="57" ht="24" customHeight="1">
      <x:c r="A57" s="2" t="str">
        <x:v>S04</x:v>
      </x:c>
      <x:c r="B57" s="2" t="str">
        <x:v>gpt_connected</x:v>
      </x:c>
      <x:c r="C57" s="2" t="n">
        <x:v>2</x:v>
      </x:c>
      <x:c r="D57" s="2" t="n">
        <x:f>SUMIFS('Grades'!$M$6:$M$1157,'Grades'!$B$6:$B$1157,A57,'Grades'!$C$6:$C$1157,B57,'Grades'!$D$6:$D$1157,C57)</x:f>
        <x:v>0</x:v>
      </x:c>
      <x:c r="E57" s="2" t="str">
        <x:f>IF(D57=8,SUMIFS('Grades'!$K$6:$K$1157,'Grades'!$B$6:$B$1157,A57,'Grades'!$C$6:$C$1157,B57,'Grades'!$D$6:$D$1157,C57),"")</x:f>
      </x:c>
      <x:c r="F57" s="11" t="str">
        <x:f>IF(ISNUMBER(E57),E57/8,"")</x:f>
      </x:c>
      <x:c r="G57" s="2" t="str">
        <x:f>IF(D57=8,SUMIFS('Grades'!$L$6:$L$1157,'Grades'!$B$6:$B$1157,A57,'Grades'!$C$6:$C$1157,B57,'Grades'!$D$6:$D$1157,C57),"")</x:f>
      </x:c>
      <x:c r="H57" s="11" t="str">
        <x:f>IF(ISNUMBER(G57),G57/8,"")</x:f>
      </x:c>
      <x:c r="I57" s="2" t="n">
        <x:f>COUNTIFS('Grades'!$B$6:$B$1157,A57,'Grades'!$C$6:$C$1157,B57,'Grades'!$D$6:$D$1157,C57,'Grades'!$K$6:$K$1157,"BLOCKED")</x:f>
        <x:v>0</x:v>
      </x:c>
    </x:row>
    <x:row r="58" ht="24" customHeight="1">
      <x:c r="A58" s="2" t="str">
        <x:v>S05</x:v>
      </x:c>
      <x:c r="B58" s="2" t="str">
        <x:v>gpt_connected</x:v>
      </x:c>
      <x:c r="C58" s="2" t="n">
        <x:v>2</x:v>
      </x:c>
      <x:c r="D58" s="2" t="n">
        <x:f>SUMIFS('Grades'!$M$6:$M$1157,'Grades'!$B$6:$B$1157,A58,'Grades'!$C$6:$C$1157,B58,'Grades'!$D$6:$D$1157,C58)</x:f>
        <x:v>0</x:v>
      </x:c>
      <x:c r="E58" s="2" t="str">
        <x:f>IF(D58=8,SUMIFS('Grades'!$K$6:$K$1157,'Grades'!$B$6:$B$1157,A58,'Grades'!$C$6:$C$1157,B58,'Grades'!$D$6:$D$1157,C58),"")</x:f>
      </x:c>
      <x:c r="F58" s="11" t="str">
        <x:f>IF(ISNUMBER(E58),E58/8,"")</x:f>
      </x:c>
      <x:c r="G58" s="2" t="str">
        <x:f>IF(D58=8,SUMIFS('Grades'!$L$6:$L$1157,'Grades'!$B$6:$B$1157,A58,'Grades'!$C$6:$C$1157,B58,'Grades'!$D$6:$D$1157,C58),"")</x:f>
      </x:c>
      <x:c r="H58" s="11" t="str">
        <x:f>IF(ISNUMBER(G58),G58/8,"")</x:f>
      </x:c>
      <x:c r="I58" s="2" t="n">
        <x:f>COUNTIFS('Grades'!$B$6:$B$1157,A58,'Grades'!$C$6:$C$1157,B58,'Grades'!$D$6:$D$1157,C58,'Grades'!$K$6:$K$1157,"BLOCKED")</x:f>
        <x:v>0</x:v>
      </x:c>
    </x:row>
    <x:row r="59" ht="24" customHeight="1">
      <x:c r="A59" s="2" t="str">
        <x:v>S06</x:v>
      </x:c>
      <x:c r="B59" s="2" t="str">
        <x:v>gpt_connected</x:v>
      </x:c>
      <x:c r="C59" s="2" t="n">
        <x:v>2</x:v>
      </x:c>
      <x:c r="D59" s="2" t="n">
        <x:f>SUMIFS('Grades'!$M$6:$M$1157,'Grades'!$B$6:$B$1157,A59,'Grades'!$C$6:$C$1157,B59,'Grades'!$D$6:$D$1157,C59)</x:f>
        <x:v>0</x:v>
      </x:c>
      <x:c r="E59" s="2" t="str">
        <x:f>IF(D59=8,SUMIFS('Grades'!$K$6:$K$1157,'Grades'!$B$6:$B$1157,A59,'Grades'!$C$6:$C$1157,B59,'Grades'!$D$6:$D$1157,C59),"")</x:f>
      </x:c>
      <x:c r="F59" s="11" t="str">
        <x:f>IF(ISNUMBER(E59),E59/8,"")</x:f>
      </x:c>
      <x:c r="G59" s="2" t="str">
        <x:f>IF(D59=8,SUMIFS('Grades'!$L$6:$L$1157,'Grades'!$B$6:$B$1157,A59,'Grades'!$C$6:$C$1157,B59,'Grades'!$D$6:$D$1157,C59),"")</x:f>
      </x:c>
      <x:c r="H59" s="11" t="str">
        <x:f>IF(ISNUMBER(G59),G59/8,"")</x:f>
      </x:c>
      <x:c r="I59" s="2" t="n">
        <x:f>COUNTIFS('Grades'!$B$6:$B$1157,A59,'Grades'!$C$6:$C$1157,B59,'Grades'!$D$6:$D$1157,C59,'Grades'!$K$6:$K$1157,"BLOCKED")</x:f>
        <x:v>0</x:v>
      </x:c>
    </x:row>
    <x:row r="60" ht="24" customHeight="1">
      <x:c r="A60" s="2" t="str">
        <x:v>S07</x:v>
      </x:c>
      <x:c r="B60" s="2" t="str">
        <x:v>gpt_connected</x:v>
      </x:c>
      <x:c r="C60" s="2" t="n">
        <x:v>2</x:v>
      </x:c>
      <x:c r="D60" s="2" t="n">
        <x:f>SUMIFS('Grades'!$M$6:$M$1157,'Grades'!$B$6:$B$1157,A60,'Grades'!$C$6:$C$1157,B60,'Grades'!$D$6:$D$1157,C60)</x:f>
        <x:v>0</x:v>
      </x:c>
      <x:c r="E60" s="2" t="str">
        <x:f>IF(D60=8,SUMIFS('Grades'!$K$6:$K$1157,'Grades'!$B$6:$B$1157,A60,'Grades'!$C$6:$C$1157,B60,'Grades'!$D$6:$D$1157,C60),"")</x:f>
      </x:c>
      <x:c r="F60" s="11" t="str">
        <x:f>IF(ISNUMBER(E60),E60/8,"")</x:f>
      </x:c>
      <x:c r="G60" s="2" t="str">
        <x:f>IF(D60=8,SUMIFS('Grades'!$L$6:$L$1157,'Grades'!$B$6:$B$1157,A60,'Grades'!$C$6:$C$1157,B60,'Grades'!$D$6:$D$1157,C60),"")</x:f>
      </x:c>
      <x:c r="H60" s="11" t="str">
        <x:f>IF(ISNUMBER(G60),G60/8,"")</x:f>
      </x:c>
      <x:c r="I60" s="2" t="n">
        <x:f>COUNTIFS('Grades'!$B$6:$B$1157,A60,'Grades'!$C$6:$C$1157,B60,'Grades'!$D$6:$D$1157,C60,'Grades'!$K$6:$K$1157,"BLOCKED")</x:f>
        <x:v>0</x:v>
      </x:c>
    </x:row>
    <x:row r="61" ht="24" customHeight="1">
      <x:c r="A61" s="2" t="str">
        <x:v>S08</x:v>
      </x:c>
      <x:c r="B61" s="2" t="str">
        <x:v>gpt_connected</x:v>
      </x:c>
      <x:c r="C61" s="2" t="n">
        <x:v>2</x:v>
      </x:c>
      <x:c r="D61" s="2" t="n">
        <x:f>SUMIFS('Grades'!$M$6:$M$1157,'Grades'!$B$6:$B$1157,A61,'Grades'!$C$6:$C$1157,B61,'Grades'!$D$6:$D$1157,C61)</x:f>
        <x:v>0</x:v>
      </x:c>
      <x:c r="E61" s="2" t="str">
        <x:f>IF(D61=8,SUMIFS('Grades'!$K$6:$K$1157,'Grades'!$B$6:$B$1157,A61,'Grades'!$C$6:$C$1157,B61,'Grades'!$D$6:$D$1157,C61),"")</x:f>
      </x:c>
      <x:c r="F61" s="11" t="str">
        <x:f>IF(ISNUMBER(E61),E61/8,"")</x:f>
      </x:c>
      <x:c r="G61" s="2" t="str">
        <x:f>IF(D61=8,SUMIFS('Grades'!$L$6:$L$1157,'Grades'!$B$6:$B$1157,A61,'Grades'!$C$6:$C$1157,B61,'Grades'!$D$6:$D$1157,C61),"")</x:f>
      </x:c>
      <x:c r="H61" s="11" t="str">
        <x:f>IF(ISNUMBER(G61),G61/8,"")</x:f>
      </x:c>
      <x:c r="I61" s="2" t="n">
        <x:f>COUNTIFS('Grades'!$B$6:$B$1157,A61,'Grades'!$C$6:$C$1157,B61,'Grades'!$D$6:$D$1157,C61,'Grades'!$K$6:$K$1157,"BLOCKED")</x:f>
        <x:v>0</x:v>
      </x:c>
    </x:row>
    <x:row r="62" ht="24" customHeight="1">
      <x:c r="A62" s="2" t="str">
        <x:v>S09</x:v>
      </x:c>
      <x:c r="B62" s="2" t="str">
        <x:v>gpt_connected</x:v>
      </x:c>
      <x:c r="C62" s="2" t="n">
        <x:v>2</x:v>
      </x:c>
      <x:c r="D62" s="2" t="n">
        <x:f>SUMIFS('Grades'!$M$6:$M$1157,'Grades'!$B$6:$B$1157,A62,'Grades'!$C$6:$C$1157,B62,'Grades'!$D$6:$D$1157,C62)</x:f>
        <x:v>0</x:v>
      </x:c>
      <x:c r="E62" s="2" t="str">
        <x:f>IF(D62=8,SUMIFS('Grades'!$K$6:$K$1157,'Grades'!$B$6:$B$1157,A62,'Grades'!$C$6:$C$1157,B62,'Grades'!$D$6:$D$1157,C62),"")</x:f>
      </x:c>
      <x:c r="F62" s="11" t="str">
        <x:f>IF(ISNUMBER(E62),E62/8,"")</x:f>
      </x:c>
      <x:c r="G62" s="2" t="str">
        <x:f>IF(D62=8,SUMIFS('Grades'!$L$6:$L$1157,'Grades'!$B$6:$B$1157,A62,'Grades'!$C$6:$C$1157,B62,'Grades'!$D$6:$D$1157,C62),"")</x:f>
      </x:c>
      <x:c r="H62" s="11" t="str">
        <x:f>IF(ISNUMBER(G62),G62/8,"")</x:f>
      </x:c>
      <x:c r="I62" s="2" t="n">
        <x:f>COUNTIFS('Grades'!$B$6:$B$1157,A62,'Grades'!$C$6:$C$1157,B62,'Grades'!$D$6:$D$1157,C62,'Grades'!$K$6:$K$1157,"BLOCKED")</x:f>
        <x:v>0</x:v>
      </x:c>
    </x:row>
    <x:row r="63" ht="24" customHeight="1">
      <x:c r="A63" s="2" t="str">
        <x:v>S10</x:v>
      </x:c>
      <x:c r="B63" s="2" t="str">
        <x:v>gpt_connected</x:v>
      </x:c>
      <x:c r="C63" s="2" t="n">
        <x:v>2</x:v>
      </x:c>
      <x:c r="D63" s="2" t="n">
        <x:f>SUMIFS('Grades'!$M$6:$M$1157,'Grades'!$B$6:$B$1157,A63,'Grades'!$C$6:$C$1157,B63,'Grades'!$D$6:$D$1157,C63)</x:f>
        <x:v>0</x:v>
      </x:c>
      <x:c r="E63" s="2" t="str">
        <x:f>IF(D63=8,SUMIFS('Grades'!$K$6:$K$1157,'Grades'!$B$6:$B$1157,A63,'Grades'!$C$6:$C$1157,B63,'Grades'!$D$6:$D$1157,C63),"")</x:f>
      </x:c>
      <x:c r="F63" s="11" t="str">
        <x:f>IF(ISNUMBER(E63),E63/8,"")</x:f>
      </x:c>
      <x:c r="G63" s="2" t="str">
        <x:f>IF(D63=8,SUMIFS('Grades'!$L$6:$L$1157,'Grades'!$B$6:$B$1157,A63,'Grades'!$C$6:$C$1157,B63,'Grades'!$D$6:$D$1157,C63),"")</x:f>
      </x:c>
      <x:c r="H63" s="11" t="str">
        <x:f>IF(ISNUMBER(G63),G63/8,"")</x:f>
      </x:c>
      <x:c r="I63" s="2" t="n">
        <x:f>COUNTIFS('Grades'!$B$6:$B$1157,A63,'Grades'!$C$6:$C$1157,B63,'Grades'!$D$6:$D$1157,C63,'Grades'!$K$6:$K$1157,"BLOCKED")</x:f>
        <x:v>0</x:v>
      </x:c>
    </x:row>
    <x:row r="64" ht="24" customHeight="1">
      <x:c r="A64" s="2" t="str">
        <x:v>S11</x:v>
      </x:c>
      <x:c r="B64" s="2" t="str">
        <x:v>gpt_connected</x:v>
      </x:c>
      <x:c r="C64" s="2" t="n">
        <x:v>2</x:v>
      </x:c>
      <x:c r="D64" s="2" t="n">
        <x:f>SUMIFS('Grades'!$M$6:$M$1157,'Grades'!$B$6:$B$1157,A64,'Grades'!$C$6:$C$1157,B64,'Grades'!$D$6:$D$1157,C64)</x:f>
        <x:v>0</x:v>
      </x:c>
      <x:c r="E64" s="2" t="str">
        <x:f>IF(D64=8,SUMIFS('Grades'!$K$6:$K$1157,'Grades'!$B$6:$B$1157,A64,'Grades'!$C$6:$C$1157,B64,'Grades'!$D$6:$D$1157,C64),"")</x:f>
      </x:c>
      <x:c r="F64" s="11" t="str">
        <x:f>IF(ISNUMBER(E64),E64/8,"")</x:f>
      </x:c>
      <x:c r="G64" s="2" t="str">
        <x:f>IF(D64=8,SUMIFS('Grades'!$L$6:$L$1157,'Grades'!$B$6:$B$1157,A64,'Grades'!$C$6:$C$1157,B64,'Grades'!$D$6:$D$1157,C64),"")</x:f>
      </x:c>
      <x:c r="H64" s="11" t="str">
        <x:f>IF(ISNUMBER(G64),G64/8,"")</x:f>
      </x:c>
      <x:c r="I64" s="2" t="n">
        <x:f>COUNTIFS('Grades'!$B$6:$B$1157,A64,'Grades'!$C$6:$C$1157,B64,'Grades'!$D$6:$D$1157,C64,'Grades'!$K$6:$K$1157,"BLOCKED")</x:f>
        <x:v>0</x:v>
      </x:c>
    </x:row>
    <x:row r="65" ht="24" customHeight="1">
      <x:c r="A65" s="2" t="str">
        <x:v>S12</x:v>
      </x:c>
      <x:c r="B65" s="2" t="str">
        <x:v>gpt_connected</x:v>
      </x:c>
      <x:c r="C65" s="2" t="n">
        <x:v>2</x:v>
      </x:c>
      <x:c r="D65" s="2" t="n">
        <x:f>SUMIFS('Grades'!$M$6:$M$1157,'Grades'!$B$6:$B$1157,A65,'Grades'!$C$6:$C$1157,B65,'Grades'!$D$6:$D$1157,C65)</x:f>
        <x:v>0</x:v>
      </x:c>
      <x:c r="E65" s="2" t="str">
        <x:f>IF(D65=8,SUMIFS('Grades'!$K$6:$K$1157,'Grades'!$B$6:$B$1157,A65,'Grades'!$C$6:$C$1157,B65,'Grades'!$D$6:$D$1157,C65),"")</x:f>
      </x:c>
      <x:c r="F65" s="11" t="str">
        <x:f>IF(ISNUMBER(E65),E65/8,"")</x:f>
      </x:c>
      <x:c r="G65" s="2" t="str">
        <x:f>IF(D65=8,SUMIFS('Grades'!$L$6:$L$1157,'Grades'!$B$6:$B$1157,A65,'Grades'!$C$6:$C$1157,B65,'Grades'!$D$6:$D$1157,C65),"")</x:f>
      </x:c>
      <x:c r="H65" s="11" t="str">
        <x:f>IF(ISNUMBER(G65),G65/8,"")</x:f>
      </x:c>
      <x:c r="I65" s="2" t="n">
        <x:f>COUNTIFS('Grades'!$B$6:$B$1157,A65,'Grades'!$C$6:$C$1157,B65,'Grades'!$D$6:$D$1157,C65,'Grades'!$K$6:$K$1157,"BLOCKED")</x:f>
        <x:v>0</x:v>
      </x:c>
    </x:row>
    <x:row r="66" ht="24" customHeight="1">
      <x:c r="A66" s="2" t="str">
        <x:v>S01</x:v>
      </x:c>
      <x:c r="B66" s="2" t="str">
        <x:v>gpt_connected</x:v>
      </x:c>
      <x:c r="C66" s="2" t="n">
        <x:v>3</x:v>
      </x:c>
      <x:c r="D66" s="2" t="n">
        <x:f>SUMIFS('Grades'!$M$6:$M$1157,'Grades'!$B$6:$B$1157,A66,'Grades'!$C$6:$C$1157,B66,'Grades'!$D$6:$D$1157,C66)</x:f>
        <x:v>0</x:v>
      </x:c>
      <x:c r="E66" s="2" t="str">
        <x:f>IF(D66=8,SUMIFS('Grades'!$K$6:$K$1157,'Grades'!$B$6:$B$1157,A66,'Grades'!$C$6:$C$1157,B66,'Grades'!$D$6:$D$1157,C66),"")</x:f>
      </x:c>
      <x:c r="F66" s="11" t="str">
        <x:f>IF(ISNUMBER(E66),E66/8,"")</x:f>
      </x:c>
      <x:c r="G66" s="2" t="str">
        <x:f>IF(D66=8,SUMIFS('Grades'!$L$6:$L$1157,'Grades'!$B$6:$B$1157,A66,'Grades'!$C$6:$C$1157,B66,'Grades'!$D$6:$D$1157,C66),"")</x:f>
      </x:c>
      <x:c r="H66" s="11" t="str">
        <x:f>IF(ISNUMBER(G66),G66/8,"")</x:f>
      </x:c>
      <x:c r="I66" s="2" t="n">
        <x:f>COUNTIFS('Grades'!$B$6:$B$1157,A66,'Grades'!$C$6:$C$1157,B66,'Grades'!$D$6:$D$1157,C66,'Grades'!$K$6:$K$1157,"BLOCKED")</x:f>
        <x:v>0</x:v>
      </x:c>
    </x:row>
    <x:row r="67" ht="24" customHeight="1">
      <x:c r="A67" s="2" t="str">
        <x:v>S02</x:v>
      </x:c>
      <x:c r="B67" s="2" t="str">
        <x:v>gpt_connected</x:v>
      </x:c>
      <x:c r="C67" s="2" t="n">
        <x:v>3</x:v>
      </x:c>
      <x:c r="D67" s="2" t="n">
        <x:f>SUMIFS('Grades'!$M$6:$M$1157,'Grades'!$B$6:$B$1157,A67,'Grades'!$C$6:$C$1157,B67,'Grades'!$D$6:$D$1157,C67)</x:f>
        <x:v>0</x:v>
      </x:c>
      <x:c r="E67" s="2" t="str">
        <x:f>IF(D67=8,SUMIFS('Grades'!$K$6:$K$1157,'Grades'!$B$6:$B$1157,A67,'Grades'!$C$6:$C$1157,B67,'Grades'!$D$6:$D$1157,C67),"")</x:f>
      </x:c>
      <x:c r="F67" s="11" t="str">
        <x:f>IF(ISNUMBER(E67),E67/8,"")</x:f>
      </x:c>
      <x:c r="G67" s="2" t="str">
        <x:f>IF(D67=8,SUMIFS('Grades'!$L$6:$L$1157,'Grades'!$B$6:$B$1157,A67,'Grades'!$C$6:$C$1157,B67,'Grades'!$D$6:$D$1157,C67),"")</x:f>
      </x:c>
      <x:c r="H67" s="11" t="str">
        <x:f>IF(ISNUMBER(G67),G67/8,"")</x:f>
      </x:c>
      <x:c r="I67" s="2" t="n">
        <x:f>COUNTIFS('Grades'!$B$6:$B$1157,A67,'Grades'!$C$6:$C$1157,B67,'Grades'!$D$6:$D$1157,C67,'Grades'!$K$6:$K$1157,"BLOCKED")</x:f>
        <x:v>0</x:v>
      </x:c>
    </x:row>
    <x:row r="68" ht="24" customHeight="1">
      <x:c r="A68" s="2" t="str">
        <x:v>S03</x:v>
      </x:c>
      <x:c r="B68" s="2" t="str">
        <x:v>gpt_connected</x:v>
      </x:c>
      <x:c r="C68" s="2" t="n">
        <x:v>3</x:v>
      </x:c>
      <x:c r="D68" s="2" t="n">
        <x:f>SUMIFS('Grades'!$M$6:$M$1157,'Grades'!$B$6:$B$1157,A68,'Grades'!$C$6:$C$1157,B68,'Grades'!$D$6:$D$1157,C68)</x:f>
        <x:v>0</x:v>
      </x:c>
      <x:c r="E68" s="2" t="str">
        <x:f>IF(D68=8,SUMIFS('Grades'!$K$6:$K$1157,'Grades'!$B$6:$B$1157,A68,'Grades'!$C$6:$C$1157,B68,'Grades'!$D$6:$D$1157,C68),"")</x:f>
      </x:c>
      <x:c r="F68" s="11" t="str">
        <x:f>IF(ISNUMBER(E68),E68/8,"")</x:f>
      </x:c>
      <x:c r="G68" s="2" t="str">
        <x:f>IF(D68=8,SUMIFS('Grades'!$L$6:$L$1157,'Grades'!$B$6:$B$1157,A68,'Grades'!$C$6:$C$1157,B68,'Grades'!$D$6:$D$1157,C68),"")</x:f>
      </x:c>
      <x:c r="H68" s="11" t="str">
        <x:f>IF(ISNUMBER(G68),G68/8,"")</x:f>
      </x:c>
      <x:c r="I68" s="2" t="n">
        <x:f>COUNTIFS('Grades'!$B$6:$B$1157,A68,'Grades'!$C$6:$C$1157,B68,'Grades'!$D$6:$D$1157,C68,'Grades'!$K$6:$K$1157,"BLOCKED")</x:f>
        <x:v>0</x:v>
      </x:c>
    </x:row>
    <x:row r="69" ht="24" customHeight="1">
      <x:c r="A69" s="2" t="str">
        <x:v>S04</x:v>
      </x:c>
      <x:c r="B69" s="2" t="str">
        <x:v>gpt_connected</x:v>
      </x:c>
      <x:c r="C69" s="2" t="n">
        <x:v>3</x:v>
      </x:c>
      <x:c r="D69" s="2" t="n">
        <x:f>SUMIFS('Grades'!$M$6:$M$1157,'Grades'!$B$6:$B$1157,A69,'Grades'!$C$6:$C$1157,B69,'Grades'!$D$6:$D$1157,C69)</x:f>
        <x:v>0</x:v>
      </x:c>
      <x:c r="E69" s="2" t="str">
        <x:f>IF(D69=8,SUMIFS('Grades'!$K$6:$K$1157,'Grades'!$B$6:$B$1157,A69,'Grades'!$C$6:$C$1157,B69,'Grades'!$D$6:$D$1157,C69),"")</x:f>
      </x:c>
      <x:c r="F69" s="11" t="str">
        <x:f>IF(ISNUMBER(E69),E69/8,"")</x:f>
      </x:c>
      <x:c r="G69" s="2" t="str">
        <x:f>IF(D69=8,SUMIFS('Grades'!$L$6:$L$1157,'Grades'!$B$6:$B$1157,A69,'Grades'!$C$6:$C$1157,B69,'Grades'!$D$6:$D$1157,C69),"")</x:f>
      </x:c>
      <x:c r="H69" s="11" t="str">
        <x:f>IF(ISNUMBER(G69),G69/8,"")</x:f>
      </x:c>
      <x:c r="I69" s="2" t="n">
        <x:f>COUNTIFS('Grades'!$B$6:$B$1157,A69,'Grades'!$C$6:$C$1157,B69,'Grades'!$D$6:$D$1157,C69,'Grades'!$K$6:$K$1157,"BLOCKED")</x:f>
        <x:v>0</x:v>
      </x:c>
    </x:row>
    <x:row r="70" ht="24" customHeight="1">
      <x:c r="A70" s="2" t="str">
        <x:v>S05</x:v>
      </x:c>
      <x:c r="B70" s="2" t="str">
        <x:v>gpt_connected</x:v>
      </x:c>
      <x:c r="C70" s="2" t="n">
        <x:v>3</x:v>
      </x:c>
      <x:c r="D70" s="2" t="n">
        <x:f>SUMIFS('Grades'!$M$6:$M$1157,'Grades'!$B$6:$B$1157,A70,'Grades'!$C$6:$C$1157,B70,'Grades'!$D$6:$D$1157,C70)</x:f>
        <x:v>0</x:v>
      </x:c>
      <x:c r="E70" s="2" t="str">
        <x:f>IF(D70=8,SUMIFS('Grades'!$K$6:$K$1157,'Grades'!$B$6:$B$1157,A70,'Grades'!$C$6:$C$1157,B70,'Grades'!$D$6:$D$1157,C70),"")</x:f>
      </x:c>
      <x:c r="F70" s="11" t="str">
        <x:f>IF(ISNUMBER(E70),E70/8,"")</x:f>
      </x:c>
      <x:c r="G70" s="2" t="str">
        <x:f>IF(D70=8,SUMIFS('Grades'!$L$6:$L$1157,'Grades'!$B$6:$B$1157,A70,'Grades'!$C$6:$C$1157,B70,'Grades'!$D$6:$D$1157,C70),"")</x:f>
      </x:c>
      <x:c r="H70" s="11" t="str">
        <x:f>IF(ISNUMBER(G70),G70/8,"")</x:f>
      </x:c>
      <x:c r="I70" s="2" t="n">
        <x:f>COUNTIFS('Grades'!$B$6:$B$1157,A70,'Grades'!$C$6:$C$1157,B70,'Grades'!$D$6:$D$1157,C70,'Grades'!$K$6:$K$1157,"BLOCKED")</x:f>
        <x:v>0</x:v>
      </x:c>
    </x:row>
    <x:row r="71" ht="24" customHeight="1">
      <x:c r="A71" s="2" t="str">
        <x:v>S06</x:v>
      </x:c>
      <x:c r="B71" s="2" t="str">
        <x:v>gpt_connected</x:v>
      </x:c>
      <x:c r="C71" s="2" t="n">
        <x:v>3</x:v>
      </x:c>
      <x:c r="D71" s="2" t="n">
        <x:f>SUMIFS('Grades'!$M$6:$M$1157,'Grades'!$B$6:$B$1157,A71,'Grades'!$C$6:$C$1157,B71,'Grades'!$D$6:$D$1157,C71)</x:f>
        <x:v>0</x:v>
      </x:c>
      <x:c r="E71" s="2" t="str">
        <x:f>IF(D71=8,SUMIFS('Grades'!$K$6:$K$1157,'Grades'!$B$6:$B$1157,A71,'Grades'!$C$6:$C$1157,B71,'Grades'!$D$6:$D$1157,C71),"")</x:f>
      </x:c>
      <x:c r="F71" s="11" t="str">
        <x:f>IF(ISNUMBER(E71),E71/8,"")</x:f>
      </x:c>
      <x:c r="G71" s="2" t="str">
        <x:f>IF(D71=8,SUMIFS('Grades'!$L$6:$L$1157,'Grades'!$B$6:$B$1157,A71,'Grades'!$C$6:$C$1157,B71,'Grades'!$D$6:$D$1157,C71),"")</x:f>
      </x:c>
      <x:c r="H71" s="11" t="str">
        <x:f>IF(ISNUMBER(G71),G71/8,"")</x:f>
      </x:c>
      <x:c r="I71" s="2" t="n">
        <x:f>COUNTIFS('Grades'!$B$6:$B$1157,A71,'Grades'!$C$6:$C$1157,B71,'Grades'!$D$6:$D$1157,C71,'Grades'!$K$6:$K$1157,"BLOCKED")</x:f>
        <x:v>0</x:v>
      </x:c>
    </x:row>
    <x:row r="72" ht="24" customHeight="1">
      <x:c r="A72" s="2" t="str">
        <x:v>S07</x:v>
      </x:c>
      <x:c r="B72" s="2" t="str">
        <x:v>gpt_connected</x:v>
      </x:c>
      <x:c r="C72" s="2" t="n">
        <x:v>3</x:v>
      </x:c>
      <x:c r="D72" s="2" t="n">
        <x:f>SUMIFS('Grades'!$M$6:$M$1157,'Grades'!$B$6:$B$1157,A72,'Grades'!$C$6:$C$1157,B72,'Grades'!$D$6:$D$1157,C72)</x:f>
        <x:v>0</x:v>
      </x:c>
      <x:c r="E72" s="2" t="str">
        <x:f>IF(D72=8,SUMIFS('Grades'!$K$6:$K$1157,'Grades'!$B$6:$B$1157,A72,'Grades'!$C$6:$C$1157,B72,'Grades'!$D$6:$D$1157,C72),"")</x:f>
      </x:c>
      <x:c r="F72" s="11" t="str">
        <x:f>IF(ISNUMBER(E72),E72/8,"")</x:f>
      </x:c>
      <x:c r="G72" s="2" t="str">
        <x:f>IF(D72=8,SUMIFS('Grades'!$L$6:$L$1157,'Grades'!$B$6:$B$1157,A72,'Grades'!$C$6:$C$1157,B72,'Grades'!$D$6:$D$1157,C72),"")</x:f>
      </x:c>
      <x:c r="H72" s="11" t="str">
        <x:f>IF(ISNUMBER(G72),G72/8,"")</x:f>
      </x:c>
      <x:c r="I72" s="2" t="n">
        <x:f>COUNTIFS('Grades'!$B$6:$B$1157,A72,'Grades'!$C$6:$C$1157,B72,'Grades'!$D$6:$D$1157,C72,'Grades'!$K$6:$K$1157,"BLOCKED")</x:f>
        <x:v>0</x:v>
      </x:c>
    </x:row>
    <x:row r="73" ht="24" customHeight="1">
      <x:c r="A73" s="2" t="str">
        <x:v>S08</x:v>
      </x:c>
      <x:c r="B73" s="2" t="str">
        <x:v>gpt_connected</x:v>
      </x:c>
      <x:c r="C73" s="2" t="n">
        <x:v>3</x:v>
      </x:c>
      <x:c r="D73" s="2" t="n">
        <x:f>SUMIFS('Grades'!$M$6:$M$1157,'Grades'!$B$6:$B$1157,A73,'Grades'!$C$6:$C$1157,B73,'Grades'!$D$6:$D$1157,C73)</x:f>
        <x:v>0</x:v>
      </x:c>
      <x:c r="E73" s="2" t="str">
        <x:f>IF(D73=8,SUMIFS('Grades'!$K$6:$K$1157,'Grades'!$B$6:$B$1157,A73,'Grades'!$C$6:$C$1157,B73,'Grades'!$D$6:$D$1157,C73),"")</x:f>
      </x:c>
      <x:c r="F73" s="11" t="str">
        <x:f>IF(ISNUMBER(E73),E73/8,"")</x:f>
      </x:c>
      <x:c r="G73" s="2" t="str">
        <x:f>IF(D73=8,SUMIFS('Grades'!$L$6:$L$1157,'Grades'!$B$6:$B$1157,A73,'Grades'!$C$6:$C$1157,B73,'Grades'!$D$6:$D$1157,C73),"")</x:f>
      </x:c>
      <x:c r="H73" s="11" t="str">
        <x:f>IF(ISNUMBER(G73),G73/8,"")</x:f>
      </x:c>
      <x:c r="I73" s="2" t="n">
        <x:f>COUNTIFS('Grades'!$B$6:$B$1157,A73,'Grades'!$C$6:$C$1157,B73,'Grades'!$D$6:$D$1157,C73,'Grades'!$K$6:$K$1157,"BLOCKED")</x:f>
        <x:v>0</x:v>
      </x:c>
    </x:row>
    <x:row r="74" ht="24" customHeight="1">
      <x:c r="A74" s="2" t="str">
        <x:v>S09</x:v>
      </x:c>
      <x:c r="B74" s="2" t="str">
        <x:v>gpt_connected</x:v>
      </x:c>
      <x:c r="C74" s="2" t="n">
        <x:v>3</x:v>
      </x:c>
      <x:c r="D74" s="2" t="n">
        <x:f>SUMIFS('Grades'!$M$6:$M$1157,'Grades'!$B$6:$B$1157,A74,'Grades'!$C$6:$C$1157,B74,'Grades'!$D$6:$D$1157,C74)</x:f>
        <x:v>0</x:v>
      </x:c>
      <x:c r="E74" s="2" t="str">
        <x:f>IF(D74=8,SUMIFS('Grades'!$K$6:$K$1157,'Grades'!$B$6:$B$1157,A74,'Grades'!$C$6:$C$1157,B74,'Grades'!$D$6:$D$1157,C74),"")</x:f>
      </x:c>
      <x:c r="F74" s="11" t="str">
        <x:f>IF(ISNUMBER(E74),E74/8,"")</x:f>
      </x:c>
      <x:c r="G74" s="2" t="str">
        <x:f>IF(D74=8,SUMIFS('Grades'!$L$6:$L$1157,'Grades'!$B$6:$B$1157,A74,'Grades'!$C$6:$C$1157,B74,'Grades'!$D$6:$D$1157,C74),"")</x:f>
      </x:c>
      <x:c r="H74" s="11" t="str">
        <x:f>IF(ISNUMBER(G74),G74/8,"")</x:f>
      </x:c>
      <x:c r="I74" s="2" t="n">
        <x:f>COUNTIFS('Grades'!$B$6:$B$1157,A74,'Grades'!$C$6:$C$1157,B74,'Grades'!$D$6:$D$1157,C74,'Grades'!$K$6:$K$1157,"BLOCKED")</x:f>
        <x:v>0</x:v>
      </x:c>
    </x:row>
    <x:row r="75" ht="24" customHeight="1">
      <x:c r="A75" s="2" t="str">
        <x:v>S10</x:v>
      </x:c>
      <x:c r="B75" s="2" t="str">
        <x:v>gpt_connected</x:v>
      </x:c>
      <x:c r="C75" s="2" t="n">
        <x:v>3</x:v>
      </x:c>
      <x:c r="D75" s="2" t="n">
        <x:f>SUMIFS('Grades'!$M$6:$M$1157,'Grades'!$B$6:$B$1157,A75,'Grades'!$C$6:$C$1157,B75,'Grades'!$D$6:$D$1157,C75)</x:f>
        <x:v>0</x:v>
      </x:c>
      <x:c r="E75" s="2" t="str">
        <x:f>IF(D75=8,SUMIFS('Grades'!$K$6:$K$1157,'Grades'!$B$6:$B$1157,A75,'Grades'!$C$6:$C$1157,B75,'Grades'!$D$6:$D$1157,C75),"")</x:f>
      </x:c>
      <x:c r="F75" s="11" t="str">
        <x:f>IF(ISNUMBER(E75),E75/8,"")</x:f>
      </x:c>
      <x:c r="G75" s="2" t="str">
        <x:f>IF(D75=8,SUMIFS('Grades'!$L$6:$L$1157,'Grades'!$B$6:$B$1157,A75,'Grades'!$C$6:$C$1157,B75,'Grades'!$D$6:$D$1157,C75),"")</x:f>
      </x:c>
      <x:c r="H75" s="11" t="str">
        <x:f>IF(ISNUMBER(G75),G75/8,"")</x:f>
      </x:c>
      <x:c r="I75" s="2" t="n">
        <x:f>COUNTIFS('Grades'!$B$6:$B$1157,A75,'Grades'!$C$6:$C$1157,B75,'Grades'!$D$6:$D$1157,C75,'Grades'!$K$6:$K$1157,"BLOCKED")</x:f>
        <x:v>0</x:v>
      </x:c>
    </x:row>
    <x:row r="76" ht="24" customHeight="1">
      <x:c r="A76" s="2" t="str">
        <x:v>S11</x:v>
      </x:c>
      <x:c r="B76" s="2" t="str">
        <x:v>gpt_connected</x:v>
      </x:c>
      <x:c r="C76" s="2" t="n">
        <x:v>3</x:v>
      </x:c>
      <x:c r="D76" s="2" t="n">
        <x:f>SUMIFS('Grades'!$M$6:$M$1157,'Grades'!$B$6:$B$1157,A76,'Grades'!$C$6:$C$1157,B76,'Grades'!$D$6:$D$1157,C76)</x:f>
        <x:v>0</x:v>
      </x:c>
      <x:c r="E76" s="2" t="str">
        <x:f>IF(D76=8,SUMIFS('Grades'!$K$6:$K$1157,'Grades'!$B$6:$B$1157,A76,'Grades'!$C$6:$C$1157,B76,'Grades'!$D$6:$D$1157,C76),"")</x:f>
      </x:c>
      <x:c r="F76" s="11" t="str">
        <x:f>IF(ISNUMBER(E76),E76/8,"")</x:f>
      </x:c>
      <x:c r="G76" s="2" t="str">
        <x:f>IF(D76=8,SUMIFS('Grades'!$L$6:$L$1157,'Grades'!$B$6:$B$1157,A76,'Grades'!$C$6:$C$1157,B76,'Grades'!$D$6:$D$1157,C76),"")</x:f>
      </x:c>
      <x:c r="H76" s="11" t="str">
        <x:f>IF(ISNUMBER(G76),G76/8,"")</x:f>
      </x:c>
      <x:c r="I76" s="2" t="n">
        <x:f>COUNTIFS('Grades'!$B$6:$B$1157,A76,'Grades'!$C$6:$C$1157,B76,'Grades'!$D$6:$D$1157,C76,'Grades'!$K$6:$K$1157,"BLOCKED")</x:f>
        <x:v>0</x:v>
      </x:c>
    </x:row>
    <x:row r="77" ht="24" customHeight="1">
      <x:c r="A77" s="2" t="str">
        <x:v>S12</x:v>
      </x:c>
      <x:c r="B77" s="2" t="str">
        <x:v>gpt_connected</x:v>
      </x:c>
      <x:c r="C77" s="2" t="n">
        <x:v>3</x:v>
      </x:c>
      <x:c r="D77" s="2" t="n">
        <x:f>SUMIFS('Grades'!$M$6:$M$1157,'Grades'!$B$6:$B$1157,A77,'Grades'!$C$6:$C$1157,B77,'Grades'!$D$6:$D$1157,C77)</x:f>
        <x:v>0</x:v>
      </x:c>
      <x:c r="E77" s="2" t="str">
        <x:f>IF(D77=8,SUMIFS('Grades'!$K$6:$K$1157,'Grades'!$B$6:$B$1157,A77,'Grades'!$C$6:$C$1157,B77,'Grades'!$D$6:$D$1157,C77),"")</x:f>
      </x:c>
      <x:c r="F77" s="11" t="str">
        <x:f>IF(ISNUMBER(E77),E77/8,"")</x:f>
      </x:c>
      <x:c r="G77" s="2" t="str">
        <x:f>IF(D77=8,SUMIFS('Grades'!$L$6:$L$1157,'Grades'!$B$6:$B$1157,A77,'Grades'!$C$6:$C$1157,B77,'Grades'!$D$6:$D$1157,C77),"")</x:f>
      </x:c>
      <x:c r="H77" s="11" t="str">
        <x:f>IF(ISNUMBER(G77),G77/8,"")</x:f>
      </x:c>
      <x:c r="I77" s="2" t="n">
        <x:f>COUNTIFS('Grades'!$B$6:$B$1157,A77,'Grades'!$C$6:$C$1157,B77,'Grades'!$D$6:$D$1157,C77,'Grades'!$K$6:$K$1157,"BLOCKED")</x:f>
        <x:v>0</x:v>
      </x:c>
    </x:row>
    <x:row r="78" ht="24" customHeight="1">
      <x:c r="A78" s="2" t="str">
        <x:v>S01</x:v>
      </x:c>
      <x:c r="B78" s="2" t="str">
        <x:v>qwen_clean</x:v>
      </x:c>
      <x:c r="C78" s="2" t="n">
        <x:v>1</x:v>
      </x:c>
      <x:c r="D78" s="2" t="n">
        <x:f>SUMIFS('Grades'!$M$6:$M$1157,'Grades'!$B$6:$B$1157,A78,'Grades'!$C$6:$C$1157,B78,'Grades'!$D$6:$D$1157,C78)</x:f>
        <x:v>0</x:v>
      </x:c>
      <x:c r="E78" s="2" t="str">
        <x:f>IF(D78=8,SUMIFS('Grades'!$K$6:$K$1157,'Grades'!$B$6:$B$1157,A78,'Grades'!$C$6:$C$1157,B78,'Grades'!$D$6:$D$1157,C78),"")</x:f>
      </x:c>
      <x:c r="F78" s="11" t="str">
        <x:f>IF(ISNUMBER(E78),E78/8,"")</x:f>
      </x:c>
      <x:c r="G78" s="2" t="str">
        <x:f>IF(D78=8,SUMIFS('Grades'!$L$6:$L$1157,'Grades'!$B$6:$B$1157,A78,'Grades'!$C$6:$C$1157,B78,'Grades'!$D$6:$D$1157,C78),"")</x:f>
      </x:c>
      <x:c r="H78" s="11" t="str">
        <x:f>IF(ISNUMBER(G78),G78/8,"")</x:f>
      </x:c>
      <x:c r="I78" s="2" t="n">
        <x:f>COUNTIFS('Grades'!$B$6:$B$1157,A78,'Grades'!$C$6:$C$1157,B78,'Grades'!$D$6:$D$1157,C78,'Grades'!$K$6:$K$1157,"BLOCKED")</x:f>
        <x:v>0</x:v>
      </x:c>
    </x:row>
    <x:row r="79" ht="24" customHeight="1">
      <x:c r="A79" s="2" t="str">
        <x:v>S02</x:v>
      </x:c>
      <x:c r="B79" s="2" t="str">
        <x:v>qwen_clean</x:v>
      </x:c>
      <x:c r="C79" s="2" t="n">
        <x:v>1</x:v>
      </x:c>
      <x:c r="D79" s="2" t="n">
        <x:f>SUMIFS('Grades'!$M$6:$M$1157,'Grades'!$B$6:$B$1157,A79,'Grades'!$C$6:$C$1157,B79,'Grades'!$D$6:$D$1157,C79)</x:f>
        <x:v>0</x:v>
      </x:c>
      <x:c r="E79" s="2" t="str">
        <x:f>IF(D79=8,SUMIFS('Grades'!$K$6:$K$1157,'Grades'!$B$6:$B$1157,A79,'Grades'!$C$6:$C$1157,B79,'Grades'!$D$6:$D$1157,C79),"")</x:f>
      </x:c>
      <x:c r="F79" s="11" t="str">
        <x:f>IF(ISNUMBER(E79),E79/8,"")</x:f>
      </x:c>
      <x:c r="G79" s="2" t="str">
        <x:f>IF(D79=8,SUMIFS('Grades'!$L$6:$L$1157,'Grades'!$B$6:$B$1157,A79,'Grades'!$C$6:$C$1157,B79,'Grades'!$D$6:$D$1157,C79),"")</x:f>
      </x:c>
      <x:c r="H79" s="11" t="str">
        <x:f>IF(ISNUMBER(G79),G79/8,"")</x:f>
      </x:c>
      <x:c r="I79" s="2" t="n">
        <x:f>COUNTIFS('Grades'!$B$6:$B$1157,A79,'Grades'!$C$6:$C$1157,B79,'Grades'!$D$6:$D$1157,C79,'Grades'!$K$6:$K$1157,"BLOCKED")</x:f>
        <x:v>0</x:v>
      </x:c>
    </x:row>
    <x:row r="80" ht="24" customHeight="1">
      <x:c r="A80" s="2" t="str">
        <x:v>S03</x:v>
      </x:c>
      <x:c r="B80" s="2" t="str">
        <x:v>qwen_clean</x:v>
      </x:c>
      <x:c r="C80" s="2" t="n">
        <x:v>1</x:v>
      </x:c>
      <x:c r="D80" s="2" t="n">
        <x:f>SUMIFS('Grades'!$M$6:$M$1157,'Grades'!$B$6:$B$1157,A80,'Grades'!$C$6:$C$1157,B80,'Grades'!$D$6:$D$1157,C80)</x:f>
        <x:v>0</x:v>
      </x:c>
      <x:c r="E80" s="2" t="str">
        <x:f>IF(D80=8,SUMIFS('Grades'!$K$6:$K$1157,'Grades'!$B$6:$B$1157,A80,'Grades'!$C$6:$C$1157,B80,'Grades'!$D$6:$D$1157,C80),"")</x:f>
      </x:c>
      <x:c r="F80" s="11" t="str">
        <x:f>IF(ISNUMBER(E80),E80/8,"")</x:f>
      </x:c>
      <x:c r="G80" s="2" t="str">
        <x:f>IF(D80=8,SUMIFS('Grades'!$L$6:$L$1157,'Grades'!$B$6:$B$1157,A80,'Grades'!$C$6:$C$1157,B80,'Grades'!$D$6:$D$1157,C80),"")</x:f>
      </x:c>
      <x:c r="H80" s="11" t="str">
        <x:f>IF(ISNUMBER(G80),G80/8,"")</x:f>
      </x:c>
      <x:c r="I80" s="2" t="n">
        <x:f>COUNTIFS('Grades'!$B$6:$B$1157,A80,'Grades'!$C$6:$C$1157,B80,'Grades'!$D$6:$D$1157,C80,'Grades'!$K$6:$K$1157,"BLOCKED")</x:f>
        <x:v>0</x:v>
      </x:c>
    </x:row>
    <x:row r="81" ht="24" customHeight="1">
      <x:c r="A81" s="2" t="str">
        <x:v>S04</x:v>
      </x:c>
      <x:c r="B81" s="2" t="str">
        <x:v>qwen_clean</x:v>
      </x:c>
      <x:c r="C81" s="2" t="n">
        <x:v>1</x:v>
      </x:c>
      <x:c r="D81" s="2" t="n">
        <x:f>SUMIFS('Grades'!$M$6:$M$1157,'Grades'!$B$6:$B$1157,A81,'Grades'!$C$6:$C$1157,B81,'Grades'!$D$6:$D$1157,C81)</x:f>
        <x:v>0</x:v>
      </x:c>
      <x:c r="E81" s="2" t="str">
        <x:f>IF(D81=8,SUMIFS('Grades'!$K$6:$K$1157,'Grades'!$B$6:$B$1157,A81,'Grades'!$C$6:$C$1157,B81,'Grades'!$D$6:$D$1157,C81),"")</x:f>
      </x:c>
      <x:c r="F81" s="11" t="str">
        <x:f>IF(ISNUMBER(E81),E81/8,"")</x:f>
      </x:c>
      <x:c r="G81" s="2" t="str">
        <x:f>IF(D81=8,SUMIFS('Grades'!$L$6:$L$1157,'Grades'!$B$6:$B$1157,A81,'Grades'!$C$6:$C$1157,B81,'Grades'!$D$6:$D$1157,C81),"")</x:f>
      </x:c>
      <x:c r="H81" s="11" t="str">
        <x:f>IF(ISNUMBER(G81),G81/8,"")</x:f>
      </x:c>
      <x:c r="I81" s="2" t="n">
        <x:f>COUNTIFS('Grades'!$B$6:$B$1157,A81,'Grades'!$C$6:$C$1157,B81,'Grades'!$D$6:$D$1157,C81,'Grades'!$K$6:$K$1157,"BLOCKED")</x:f>
        <x:v>0</x:v>
      </x:c>
    </x:row>
    <x:row r="82" ht="24" customHeight="1">
      <x:c r="A82" s="2" t="str">
        <x:v>S05</x:v>
      </x:c>
      <x:c r="B82" s="2" t="str">
        <x:v>qwen_clean</x:v>
      </x:c>
      <x:c r="C82" s="2" t="n">
        <x:v>1</x:v>
      </x:c>
      <x:c r="D82" s="2" t="n">
        <x:f>SUMIFS('Grades'!$M$6:$M$1157,'Grades'!$B$6:$B$1157,A82,'Grades'!$C$6:$C$1157,B82,'Grades'!$D$6:$D$1157,C82)</x:f>
        <x:v>0</x:v>
      </x:c>
      <x:c r="E82" s="2" t="str">
        <x:f>IF(D82=8,SUMIFS('Grades'!$K$6:$K$1157,'Grades'!$B$6:$B$1157,A82,'Grades'!$C$6:$C$1157,B82,'Grades'!$D$6:$D$1157,C82),"")</x:f>
      </x:c>
      <x:c r="F82" s="11" t="str">
        <x:f>IF(ISNUMBER(E82),E82/8,"")</x:f>
      </x:c>
      <x:c r="G82" s="2" t="str">
        <x:f>IF(D82=8,SUMIFS('Grades'!$L$6:$L$1157,'Grades'!$B$6:$B$1157,A82,'Grades'!$C$6:$C$1157,B82,'Grades'!$D$6:$D$1157,C82),"")</x:f>
      </x:c>
      <x:c r="H82" s="11" t="str">
        <x:f>IF(ISNUMBER(G82),G82/8,"")</x:f>
      </x:c>
      <x:c r="I82" s="2" t="n">
        <x:f>COUNTIFS('Grades'!$B$6:$B$1157,A82,'Grades'!$C$6:$C$1157,B82,'Grades'!$D$6:$D$1157,C82,'Grades'!$K$6:$K$1157,"BLOCKED")</x:f>
        <x:v>0</x:v>
      </x:c>
    </x:row>
    <x:row r="83" ht="24" customHeight="1">
      <x:c r="A83" s="2" t="str">
        <x:v>S06</x:v>
      </x:c>
      <x:c r="B83" s="2" t="str">
        <x:v>qwen_clean</x:v>
      </x:c>
      <x:c r="C83" s="2" t="n">
        <x:v>1</x:v>
      </x:c>
      <x:c r="D83" s="2" t="n">
        <x:f>SUMIFS('Grades'!$M$6:$M$1157,'Grades'!$B$6:$B$1157,A83,'Grades'!$C$6:$C$1157,B83,'Grades'!$D$6:$D$1157,C83)</x:f>
        <x:v>0</x:v>
      </x:c>
      <x:c r="E83" s="2" t="str">
        <x:f>IF(D83=8,SUMIFS('Grades'!$K$6:$K$1157,'Grades'!$B$6:$B$1157,A83,'Grades'!$C$6:$C$1157,B83,'Grades'!$D$6:$D$1157,C83),"")</x:f>
      </x:c>
      <x:c r="F83" s="11" t="str">
        <x:f>IF(ISNUMBER(E83),E83/8,"")</x:f>
      </x:c>
      <x:c r="G83" s="2" t="str">
        <x:f>IF(D83=8,SUMIFS('Grades'!$L$6:$L$1157,'Grades'!$B$6:$B$1157,A83,'Grades'!$C$6:$C$1157,B83,'Grades'!$D$6:$D$1157,C83),"")</x:f>
      </x:c>
      <x:c r="H83" s="11" t="str">
        <x:f>IF(ISNUMBER(G83),G83/8,"")</x:f>
      </x:c>
      <x:c r="I83" s="2" t="n">
        <x:f>COUNTIFS('Grades'!$B$6:$B$1157,A83,'Grades'!$C$6:$C$1157,B83,'Grades'!$D$6:$D$1157,C83,'Grades'!$K$6:$K$1157,"BLOCKED")</x:f>
        <x:v>0</x:v>
      </x:c>
    </x:row>
    <x:row r="84" ht="24" customHeight="1">
      <x:c r="A84" s="2" t="str">
        <x:v>S07</x:v>
      </x:c>
      <x:c r="B84" s="2" t="str">
        <x:v>qwen_clean</x:v>
      </x:c>
      <x:c r="C84" s="2" t="n">
        <x:v>1</x:v>
      </x:c>
      <x:c r="D84" s="2" t="n">
        <x:f>SUMIFS('Grades'!$M$6:$M$1157,'Grades'!$B$6:$B$1157,A84,'Grades'!$C$6:$C$1157,B84,'Grades'!$D$6:$D$1157,C84)</x:f>
        <x:v>0</x:v>
      </x:c>
      <x:c r="E84" s="2" t="str">
        <x:f>IF(D84=8,SUMIFS('Grades'!$K$6:$K$1157,'Grades'!$B$6:$B$1157,A84,'Grades'!$C$6:$C$1157,B84,'Grades'!$D$6:$D$1157,C84),"")</x:f>
      </x:c>
      <x:c r="F84" s="11" t="str">
        <x:f>IF(ISNUMBER(E84),E84/8,"")</x:f>
      </x:c>
      <x:c r="G84" s="2" t="str">
        <x:f>IF(D84=8,SUMIFS('Grades'!$L$6:$L$1157,'Grades'!$B$6:$B$1157,A84,'Grades'!$C$6:$C$1157,B84,'Grades'!$D$6:$D$1157,C84),"")</x:f>
      </x:c>
      <x:c r="H84" s="11" t="str">
        <x:f>IF(ISNUMBER(G84),G84/8,"")</x:f>
      </x:c>
      <x:c r="I84" s="2" t="n">
        <x:f>COUNTIFS('Grades'!$B$6:$B$1157,A84,'Grades'!$C$6:$C$1157,B84,'Grades'!$D$6:$D$1157,C84,'Grades'!$K$6:$K$1157,"BLOCKED")</x:f>
        <x:v>0</x:v>
      </x:c>
    </x:row>
    <x:row r="85" ht="24" customHeight="1">
      <x:c r="A85" s="2" t="str">
        <x:v>S08</x:v>
      </x:c>
      <x:c r="B85" s="2" t="str">
        <x:v>qwen_clean</x:v>
      </x:c>
      <x:c r="C85" s="2" t="n">
        <x:v>1</x:v>
      </x:c>
      <x:c r="D85" s="2" t="n">
        <x:f>SUMIFS('Grades'!$M$6:$M$1157,'Grades'!$B$6:$B$1157,A85,'Grades'!$C$6:$C$1157,B85,'Grades'!$D$6:$D$1157,C85)</x:f>
        <x:v>0</x:v>
      </x:c>
      <x:c r="E85" s="2" t="str">
        <x:f>IF(D85=8,SUMIFS('Grades'!$K$6:$K$1157,'Grades'!$B$6:$B$1157,A85,'Grades'!$C$6:$C$1157,B85,'Grades'!$D$6:$D$1157,C85),"")</x:f>
      </x:c>
      <x:c r="F85" s="11" t="str">
        <x:f>IF(ISNUMBER(E85),E85/8,"")</x:f>
      </x:c>
      <x:c r="G85" s="2" t="str">
        <x:f>IF(D85=8,SUMIFS('Grades'!$L$6:$L$1157,'Grades'!$B$6:$B$1157,A85,'Grades'!$C$6:$C$1157,B85,'Grades'!$D$6:$D$1157,C85),"")</x:f>
      </x:c>
      <x:c r="H85" s="11" t="str">
        <x:f>IF(ISNUMBER(G85),G85/8,"")</x:f>
      </x:c>
      <x:c r="I85" s="2" t="n">
        <x:f>COUNTIFS('Grades'!$B$6:$B$1157,A85,'Grades'!$C$6:$C$1157,B85,'Grades'!$D$6:$D$1157,C85,'Grades'!$K$6:$K$1157,"BLOCKED")</x:f>
        <x:v>0</x:v>
      </x:c>
    </x:row>
    <x:row r="86" ht="24" customHeight="1">
      <x:c r="A86" s="2" t="str">
        <x:v>S09</x:v>
      </x:c>
      <x:c r="B86" s="2" t="str">
        <x:v>qwen_clean</x:v>
      </x:c>
      <x:c r="C86" s="2" t="n">
        <x:v>1</x:v>
      </x:c>
      <x:c r="D86" s="2" t="n">
        <x:f>SUMIFS('Grades'!$M$6:$M$1157,'Grades'!$B$6:$B$1157,A86,'Grades'!$C$6:$C$1157,B86,'Grades'!$D$6:$D$1157,C86)</x:f>
        <x:v>0</x:v>
      </x:c>
      <x:c r="E86" s="2" t="str">
        <x:f>IF(D86=8,SUMIFS('Grades'!$K$6:$K$1157,'Grades'!$B$6:$B$1157,A86,'Grades'!$C$6:$C$1157,B86,'Grades'!$D$6:$D$1157,C86),"")</x:f>
      </x:c>
      <x:c r="F86" s="11" t="str">
        <x:f>IF(ISNUMBER(E86),E86/8,"")</x:f>
      </x:c>
      <x:c r="G86" s="2" t="str">
        <x:f>IF(D86=8,SUMIFS('Grades'!$L$6:$L$1157,'Grades'!$B$6:$B$1157,A86,'Grades'!$C$6:$C$1157,B86,'Grades'!$D$6:$D$1157,C86),"")</x:f>
      </x:c>
      <x:c r="H86" s="11" t="str">
        <x:f>IF(ISNUMBER(G86),G86/8,"")</x:f>
      </x:c>
      <x:c r="I86" s="2" t="n">
        <x:f>COUNTIFS('Grades'!$B$6:$B$1157,A86,'Grades'!$C$6:$C$1157,B86,'Grades'!$D$6:$D$1157,C86,'Grades'!$K$6:$K$1157,"BLOCKED")</x:f>
        <x:v>0</x:v>
      </x:c>
    </x:row>
    <x:row r="87" ht="24" customHeight="1">
      <x:c r="A87" s="2" t="str">
        <x:v>S10</x:v>
      </x:c>
      <x:c r="B87" s="2" t="str">
        <x:v>qwen_clean</x:v>
      </x:c>
      <x:c r="C87" s="2" t="n">
        <x:v>1</x:v>
      </x:c>
      <x:c r="D87" s="2" t="n">
        <x:f>SUMIFS('Grades'!$M$6:$M$1157,'Grades'!$B$6:$B$1157,A87,'Grades'!$C$6:$C$1157,B87,'Grades'!$D$6:$D$1157,C87)</x:f>
        <x:v>0</x:v>
      </x:c>
      <x:c r="E87" s="2" t="str">
        <x:f>IF(D87=8,SUMIFS('Grades'!$K$6:$K$1157,'Grades'!$B$6:$B$1157,A87,'Grades'!$C$6:$C$1157,B87,'Grades'!$D$6:$D$1157,C87),"")</x:f>
      </x:c>
      <x:c r="F87" s="11" t="str">
        <x:f>IF(ISNUMBER(E87),E87/8,"")</x:f>
      </x:c>
      <x:c r="G87" s="2" t="str">
        <x:f>IF(D87=8,SUMIFS('Grades'!$L$6:$L$1157,'Grades'!$B$6:$B$1157,A87,'Grades'!$C$6:$C$1157,B87,'Grades'!$D$6:$D$1157,C87),"")</x:f>
      </x:c>
      <x:c r="H87" s="11" t="str">
        <x:f>IF(ISNUMBER(G87),G87/8,"")</x:f>
      </x:c>
      <x:c r="I87" s="2" t="n">
        <x:f>COUNTIFS('Grades'!$B$6:$B$1157,A87,'Grades'!$C$6:$C$1157,B87,'Grades'!$D$6:$D$1157,C87,'Grades'!$K$6:$K$1157,"BLOCKED")</x:f>
        <x:v>0</x:v>
      </x:c>
    </x:row>
    <x:row r="88" ht="24" customHeight="1">
      <x:c r="A88" s="2" t="str">
        <x:v>S11</x:v>
      </x:c>
      <x:c r="B88" s="2" t="str">
        <x:v>qwen_clean</x:v>
      </x:c>
      <x:c r="C88" s="2" t="n">
        <x:v>1</x:v>
      </x:c>
      <x:c r="D88" s="2" t="n">
        <x:f>SUMIFS('Grades'!$M$6:$M$1157,'Grades'!$B$6:$B$1157,A88,'Grades'!$C$6:$C$1157,B88,'Grades'!$D$6:$D$1157,C88)</x:f>
        <x:v>0</x:v>
      </x:c>
      <x:c r="E88" s="2" t="str">
        <x:f>IF(D88=8,SUMIFS('Grades'!$K$6:$K$1157,'Grades'!$B$6:$B$1157,A88,'Grades'!$C$6:$C$1157,B88,'Grades'!$D$6:$D$1157,C88),"")</x:f>
      </x:c>
      <x:c r="F88" s="11" t="str">
        <x:f>IF(ISNUMBER(E88),E88/8,"")</x:f>
      </x:c>
      <x:c r="G88" s="2" t="str">
        <x:f>IF(D88=8,SUMIFS('Grades'!$L$6:$L$1157,'Grades'!$B$6:$B$1157,A88,'Grades'!$C$6:$C$1157,B88,'Grades'!$D$6:$D$1157,C88),"")</x:f>
      </x:c>
      <x:c r="H88" s="11" t="str">
        <x:f>IF(ISNUMBER(G88),G88/8,"")</x:f>
      </x:c>
      <x:c r="I88" s="2" t="n">
        <x:f>COUNTIFS('Grades'!$B$6:$B$1157,A88,'Grades'!$C$6:$C$1157,B88,'Grades'!$D$6:$D$1157,C88,'Grades'!$K$6:$K$1157,"BLOCKED")</x:f>
        <x:v>0</x:v>
      </x:c>
    </x:row>
    <x:row r="89" ht="24" customHeight="1">
      <x:c r="A89" s="2" t="str">
        <x:v>S12</x:v>
      </x:c>
      <x:c r="B89" s="2" t="str">
        <x:v>qwen_clean</x:v>
      </x:c>
      <x:c r="C89" s="2" t="n">
        <x:v>1</x:v>
      </x:c>
      <x:c r="D89" s="2" t="n">
        <x:f>SUMIFS('Grades'!$M$6:$M$1157,'Grades'!$B$6:$B$1157,A89,'Grades'!$C$6:$C$1157,B89,'Grades'!$D$6:$D$1157,C89)</x:f>
        <x:v>0</x:v>
      </x:c>
      <x:c r="E89" s="2" t="str">
        <x:f>IF(D89=8,SUMIFS('Grades'!$K$6:$K$1157,'Grades'!$B$6:$B$1157,A89,'Grades'!$C$6:$C$1157,B89,'Grades'!$D$6:$D$1157,C89),"")</x:f>
      </x:c>
      <x:c r="F89" s="11" t="str">
        <x:f>IF(ISNUMBER(E89),E89/8,"")</x:f>
      </x:c>
      <x:c r="G89" s="2" t="str">
        <x:f>IF(D89=8,SUMIFS('Grades'!$L$6:$L$1157,'Grades'!$B$6:$B$1157,A89,'Grades'!$C$6:$C$1157,B89,'Grades'!$D$6:$D$1157,C89),"")</x:f>
      </x:c>
      <x:c r="H89" s="11" t="str">
        <x:f>IF(ISNUMBER(G89),G89/8,"")</x:f>
      </x:c>
      <x:c r="I89" s="2" t="n">
        <x:f>COUNTIFS('Grades'!$B$6:$B$1157,A89,'Grades'!$C$6:$C$1157,B89,'Grades'!$D$6:$D$1157,C89,'Grades'!$K$6:$K$1157,"BLOCKED")</x:f>
        <x:v>0</x:v>
      </x:c>
    </x:row>
    <x:row r="90" ht="24" customHeight="1">
      <x:c r="A90" s="2" t="str">
        <x:v>S01</x:v>
      </x:c>
      <x:c r="B90" s="2" t="str">
        <x:v>qwen_clean</x:v>
      </x:c>
      <x:c r="C90" s="2" t="n">
        <x:v>2</x:v>
      </x:c>
      <x:c r="D90" s="2" t="n">
        <x:f>SUMIFS('Grades'!$M$6:$M$1157,'Grades'!$B$6:$B$1157,A90,'Grades'!$C$6:$C$1157,B90,'Grades'!$D$6:$D$1157,C90)</x:f>
        <x:v>0</x:v>
      </x:c>
      <x:c r="E90" s="2" t="str">
        <x:f>IF(D90=8,SUMIFS('Grades'!$K$6:$K$1157,'Grades'!$B$6:$B$1157,A90,'Grades'!$C$6:$C$1157,B90,'Grades'!$D$6:$D$1157,C90),"")</x:f>
      </x:c>
      <x:c r="F90" s="11" t="str">
        <x:f>IF(ISNUMBER(E90),E90/8,"")</x:f>
      </x:c>
      <x:c r="G90" s="2" t="str">
        <x:f>IF(D90=8,SUMIFS('Grades'!$L$6:$L$1157,'Grades'!$B$6:$B$1157,A90,'Grades'!$C$6:$C$1157,B90,'Grades'!$D$6:$D$1157,C90),"")</x:f>
      </x:c>
      <x:c r="H90" s="11" t="str">
        <x:f>IF(ISNUMBER(G90),G90/8,"")</x:f>
      </x:c>
      <x:c r="I90" s="2" t="n">
        <x:f>COUNTIFS('Grades'!$B$6:$B$1157,A90,'Grades'!$C$6:$C$1157,B90,'Grades'!$D$6:$D$1157,C90,'Grades'!$K$6:$K$1157,"BLOCKED")</x:f>
        <x:v>0</x:v>
      </x:c>
    </x:row>
    <x:row r="91" ht="24" customHeight="1">
      <x:c r="A91" s="2" t="str">
        <x:v>S02</x:v>
      </x:c>
      <x:c r="B91" s="2" t="str">
        <x:v>qwen_clean</x:v>
      </x:c>
      <x:c r="C91" s="2" t="n">
        <x:v>2</x:v>
      </x:c>
      <x:c r="D91" s="2" t="n">
        <x:f>SUMIFS('Grades'!$M$6:$M$1157,'Grades'!$B$6:$B$1157,A91,'Grades'!$C$6:$C$1157,B91,'Grades'!$D$6:$D$1157,C91)</x:f>
        <x:v>0</x:v>
      </x:c>
      <x:c r="E91" s="2" t="str">
        <x:f>IF(D91=8,SUMIFS('Grades'!$K$6:$K$1157,'Grades'!$B$6:$B$1157,A91,'Grades'!$C$6:$C$1157,B91,'Grades'!$D$6:$D$1157,C91),"")</x:f>
      </x:c>
      <x:c r="F91" s="11" t="str">
        <x:f>IF(ISNUMBER(E91),E91/8,"")</x:f>
      </x:c>
      <x:c r="G91" s="2" t="str">
        <x:f>IF(D91=8,SUMIFS('Grades'!$L$6:$L$1157,'Grades'!$B$6:$B$1157,A91,'Grades'!$C$6:$C$1157,B91,'Grades'!$D$6:$D$1157,C91),"")</x:f>
      </x:c>
      <x:c r="H91" s="11" t="str">
        <x:f>IF(ISNUMBER(G91),G91/8,"")</x:f>
      </x:c>
      <x:c r="I91" s="2" t="n">
        <x:f>COUNTIFS('Grades'!$B$6:$B$1157,A91,'Grades'!$C$6:$C$1157,B91,'Grades'!$D$6:$D$1157,C91,'Grades'!$K$6:$K$1157,"BLOCKED")</x:f>
        <x:v>0</x:v>
      </x:c>
    </x:row>
    <x:row r="92" ht="24" customHeight="1">
      <x:c r="A92" s="2" t="str">
        <x:v>S03</x:v>
      </x:c>
      <x:c r="B92" s="2" t="str">
        <x:v>qwen_clean</x:v>
      </x:c>
      <x:c r="C92" s="2" t="n">
        <x:v>2</x:v>
      </x:c>
      <x:c r="D92" s="2" t="n">
        <x:f>SUMIFS('Grades'!$M$6:$M$1157,'Grades'!$B$6:$B$1157,A92,'Grades'!$C$6:$C$1157,B92,'Grades'!$D$6:$D$1157,C92)</x:f>
        <x:v>0</x:v>
      </x:c>
      <x:c r="E92" s="2" t="str">
        <x:f>IF(D92=8,SUMIFS('Grades'!$K$6:$K$1157,'Grades'!$B$6:$B$1157,A92,'Grades'!$C$6:$C$1157,B92,'Grades'!$D$6:$D$1157,C92),"")</x:f>
      </x:c>
      <x:c r="F92" s="11" t="str">
        <x:f>IF(ISNUMBER(E92),E92/8,"")</x:f>
      </x:c>
      <x:c r="G92" s="2" t="str">
        <x:f>IF(D92=8,SUMIFS('Grades'!$L$6:$L$1157,'Grades'!$B$6:$B$1157,A92,'Grades'!$C$6:$C$1157,B92,'Grades'!$D$6:$D$1157,C92),"")</x:f>
      </x:c>
      <x:c r="H92" s="11" t="str">
        <x:f>IF(ISNUMBER(G92),G92/8,"")</x:f>
      </x:c>
      <x:c r="I92" s="2" t="n">
        <x:f>COUNTIFS('Grades'!$B$6:$B$1157,A92,'Grades'!$C$6:$C$1157,B92,'Grades'!$D$6:$D$1157,C92,'Grades'!$K$6:$K$1157,"BLOCKED")</x:f>
        <x:v>0</x:v>
      </x:c>
    </x:row>
    <x:row r="93" ht="24" customHeight="1">
      <x:c r="A93" s="2" t="str">
        <x:v>S04</x:v>
      </x:c>
      <x:c r="B93" s="2" t="str">
        <x:v>qwen_clean</x:v>
      </x:c>
      <x:c r="C93" s="2" t="n">
        <x:v>2</x:v>
      </x:c>
      <x:c r="D93" s="2" t="n">
        <x:f>SUMIFS('Grades'!$M$6:$M$1157,'Grades'!$B$6:$B$1157,A93,'Grades'!$C$6:$C$1157,B93,'Grades'!$D$6:$D$1157,C93)</x:f>
        <x:v>0</x:v>
      </x:c>
      <x:c r="E93" s="2" t="str">
        <x:f>IF(D93=8,SUMIFS('Grades'!$K$6:$K$1157,'Grades'!$B$6:$B$1157,A93,'Grades'!$C$6:$C$1157,B93,'Grades'!$D$6:$D$1157,C93),"")</x:f>
      </x:c>
      <x:c r="F93" s="11" t="str">
        <x:f>IF(ISNUMBER(E93),E93/8,"")</x:f>
      </x:c>
      <x:c r="G93" s="2" t="str">
        <x:f>IF(D93=8,SUMIFS('Grades'!$L$6:$L$1157,'Grades'!$B$6:$B$1157,A93,'Grades'!$C$6:$C$1157,B93,'Grades'!$D$6:$D$1157,C93),"")</x:f>
      </x:c>
      <x:c r="H93" s="11" t="str">
        <x:f>IF(ISNUMBER(G93),G93/8,"")</x:f>
      </x:c>
      <x:c r="I93" s="2" t="n">
        <x:f>COUNTIFS('Grades'!$B$6:$B$1157,A93,'Grades'!$C$6:$C$1157,B93,'Grades'!$D$6:$D$1157,C93,'Grades'!$K$6:$K$1157,"BLOCKED")</x:f>
        <x:v>0</x:v>
      </x:c>
    </x:row>
    <x:row r="94" ht="24" customHeight="1">
      <x:c r="A94" s="2" t="str">
        <x:v>S05</x:v>
      </x:c>
      <x:c r="B94" s="2" t="str">
        <x:v>qwen_clean</x:v>
      </x:c>
      <x:c r="C94" s="2" t="n">
        <x:v>2</x:v>
      </x:c>
      <x:c r="D94" s="2" t="n">
        <x:f>SUMIFS('Grades'!$M$6:$M$1157,'Grades'!$B$6:$B$1157,A94,'Grades'!$C$6:$C$1157,B94,'Grades'!$D$6:$D$1157,C94)</x:f>
        <x:v>0</x:v>
      </x:c>
      <x:c r="E94" s="2" t="str">
        <x:f>IF(D94=8,SUMIFS('Grades'!$K$6:$K$1157,'Grades'!$B$6:$B$1157,A94,'Grades'!$C$6:$C$1157,B94,'Grades'!$D$6:$D$1157,C94),"")</x:f>
      </x:c>
      <x:c r="F94" s="11" t="str">
        <x:f>IF(ISNUMBER(E94),E94/8,"")</x:f>
      </x:c>
      <x:c r="G94" s="2" t="str">
        <x:f>IF(D94=8,SUMIFS('Grades'!$L$6:$L$1157,'Grades'!$B$6:$B$1157,A94,'Grades'!$C$6:$C$1157,B94,'Grades'!$D$6:$D$1157,C94),"")</x:f>
      </x:c>
      <x:c r="H94" s="11" t="str">
        <x:f>IF(ISNUMBER(G94),G94/8,"")</x:f>
      </x:c>
      <x:c r="I94" s="2" t="n">
        <x:f>COUNTIFS('Grades'!$B$6:$B$1157,A94,'Grades'!$C$6:$C$1157,B94,'Grades'!$D$6:$D$1157,C94,'Grades'!$K$6:$K$1157,"BLOCKED")</x:f>
        <x:v>0</x:v>
      </x:c>
    </x:row>
    <x:row r="95" ht="24" customHeight="1">
      <x:c r="A95" s="2" t="str">
        <x:v>S06</x:v>
      </x:c>
      <x:c r="B95" s="2" t="str">
        <x:v>qwen_clean</x:v>
      </x:c>
      <x:c r="C95" s="2" t="n">
        <x:v>2</x:v>
      </x:c>
      <x:c r="D95" s="2" t="n">
        <x:f>SUMIFS('Grades'!$M$6:$M$1157,'Grades'!$B$6:$B$1157,A95,'Grades'!$C$6:$C$1157,B95,'Grades'!$D$6:$D$1157,C95)</x:f>
        <x:v>0</x:v>
      </x:c>
      <x:c r="E95" s="2" t="str">
        <x:f>IF(D95=8,SUMIFS('Grades'!$K$6:$K$1157,'Grades'!$B$6:$B$1157,A95,'Grades'!$C$6:$C$1157,B95,'Grades'!$D$6:$D$1157,C95),"")</x:f>
      </x:c>
      <x:c r="F95" s="11" t="str">
        <x:f>IF(ISNUMBER(E95),E95/8,"")</x:f>
      </x:c>
      <x:c r="G95" s="2" t="str">
        <x:f>IF(D95=8,SUMIFS('Grades'!$L$6:$L$1157,'Grades'!$B$6:$B$1157,A95,'Grades'!$C$6:$C$1157,B95,'Grades'!$D$6:$D$1157,C95),"")</x:f>
      </x:c>
      <x:c r="H95" s="11" t="str">
        <x:f>IF(ISNUMBER(G95),G95/8,"")</x:f>
      </x:c>
      <x:c r="I95" s="2" t="n">
        <x:f>COUNTIFS('Grades'!$B$6:$B$1157,A95,'Grades'!$C$6:$C$1157,B95,'Grades'!$D$6:$D$1157,C95,'Grades'!$K$6:$K$1157,"BLOCKED")</x:f>
        <x:v>0</x:v>
      </x:c>
    </x:row>
    <x:row r="96" ht="24" customHeight="1">
      <x:c r="A96" s="2" t="str">
        <x:v>S07</x:v>
      </x:c>
      <x:c r="B96" s="2" t="str">
        <x:v>qwen_clean</x:v>
      </x:c>
      <x:c r="C96" s="2" t="n">
        <x:v>2</x:v>
      </x:c>
      <x:c r="D96" s="2" t="n">
        <x:f>SUMIFS('Grades'!$M$6:$M$1157,'Grades'!$B$6:$B$1157,A96,'Grades'!$C$6:$C$1157,B96,'Grades'!$D$6:$D$1157,C96)</x:f>
        <x:v>0</x:v>
      </x:c>
      <x:c r="E96" s="2" t="str">
        <x:f>IF(D96=8,SUMIFS('Grades'!$K$6:$K$1157,'Grades'!$B$6:$B$1157,A96,'Grades'!$C$6:$C$1157,B96,'Grades'!$D$6:$D$1157,C96),"")</x:f>
      </x:c>
      <x:c r="F96" s="11" t="str">
        <x:f>IF(ISNUMBER(E96),E96/8,"")</x:f>
      </x:c>
      <x:c r="G96" s="2" t="str">
        <x:f>IF(D96=8,SUMIFS('Grades'!$L$6:$L$1157,'Grades'!$B$6:$B$1157,A96,'Grades'!$C$6:$C$1157,B96,'Grades'!$D$6:$D$1157,C96),"")</x:f>
      </x:c>
      <x:c r="H96" s="11" t="str">
        <x:f>IF(ISNUMBER(G96),G96/8,"")</x:f>
      </x:c>
      <x:c r="I96" s="2" t="n">
        <x:f>COUNTIFS('Grades'!$B$6:$B$1157,A96,'Grades'!$C$6:$C$1157,B96,'Grades'!$D$6:$D$1157,C96,'Grades'!$K$6:$K$1157,"BLOCKED")</x:f>
        <x:v>0</x:v>
      </x:c>
    </x:row>
    <x:row r="97" ht="24" customHeight="1">
      <x:c r="A97" s="2" t="str">
        <x:v>S08</x:v>
      </x:c>
      <x:c r="B97" s="2" t="str">
        <x:v>qwen_clean</x:v>
      </x:c>
      <x:c r="C97" s="2" t="n">
        <x:v>2</x:v>
      </x:c>
      <x:c r="D97" s="2" t="n">
        <x:f>SUMIFS('Grades'!$M$6:$M$1157,'Grades'!$B$6:$B$1157,A97,'Grades'!$C$6:$C$1157,B97,'Grades'!$D$6:$D$1157,C97)</x:f>
        <x:v>0</x:v>
      </x:c>
      <x:c r="E97" s="2" t="str">
        <x:f>IF(D97=8,SUMIFS('Grades'!$K$6:$K$1157,'Grades'!$B$6:$B$1157,A97,'Grades'!$C$6:$C$1157,B97,'Grades'!$D$6:$D$1157,C97),"")</x:f>
      </x:c>
      <x:c r="F97" s="11" t="str">
        <x:f>IF(ISNUMBER(E97),E97/8,"")</x:f>
      </x:c>
      <x:c r="G97" s="2" t="str">
        <x:f>IF(D97=8,SUMIFS('Grades'!$L$6:$L$1157,'Grades'!$B$6:$B$1157,A97,'Grades'!$C$6:$C$1157,B97,'Grades'!$D$6:$D$1157,C97),"")</x:f>
      </x:c>
      <x:c r="H97" s="11" t="str">
        <x:f>IF(ISNUMBER(G97),G97/8,"")</x:f>
      </x:c>
      <x:c r="I97" s="2" t="n">
        <x:f>COUNTIFS('Grades'!$B$6:$B$1157,A97,'Grades'!$C$6:$C$1157,B97,'Grades'!$D$6:$D$1157,C97,'Grades'!$K$6:$K$1157,"BLOCKED")</x:f>
        <x:v>0</x:v>
      </x:c>
    </x:row>
    <x:row r="98" ht="24" customHeight="1">
      <x:c r="A98" s="2" t="str">
        <x:v>S09</x:v>
      </x:c>
      <x:c r="B98" s="2" t="str">
        <x:v>qwen_clean</x:v>
      </x:c>
      <x:c r="C98" s="2" t="n">
        <x:v>2</x:v>
      </x:c>
      <x:c r="D98" s="2" t="n">
        <x:f>SUMIFS('Grades'!$M$6:$M$1157,'Grades'!$B$6:$B$1157,A98,'Grades'!$C$6:$C$1157,B98,'Grades'!$D$6:$D$1157,C98)</x:f>
        <x:v>0</x:v>
      </x:c>
      <x:c r="E98" s="2" t="str">
        <x:f>IF(D98=8,SUMIFS('Grades'!$K$6:$K$1157,'Grades'!$B$6:$B$1157,A98,'Grades'!$C$6:$C$1157,B98,'Grades'!$D$6:$D$1157,C98),"")</x:f>
      </x:c>
      <x:c r="F98" s="11" t="str">
        <x:f>IF(ISNUMBER(E98),E98/8,"")</x:f>
      </x:c>
      <x:c r="G98" s="2" t="str">
        <x:f>IF(D98=8,SUMIFS('Grades'!$L$6:$L$1157,'Grades'!$B$6:$B$1157,A98,'Grades'!$C$6:$C$1157,B98,'Grades'!$D$6:$D$1157,C98),"")</x:f>
      </x:c>
      <x:c r="H98" s="11" t="str">
        <x:f>IF(ISNUMBER(G98),G98/8,"")</x:f>
      </x:c>
      <x:c r="I98" s="2" t="n">
        <x:f>COUNTIFS('Grades'!$B$6:$B$1157,A98,'Grades'!$C$6:$C$1157,B98,'Grades'!$D$6:$D$1157,C98,'Grades'!$K$6:$K$1157,"BLOCKED")</x:f>
        <x:v>0</x:v>
      </x:c>
    </x:row>
    <x:row r="99" ht="24" customHeight="1">
      <x:c r="A99" s="2" t="str">
        <x:v>S10</x:v>
      </x:c>
      <x:c r="B99" s="2" t="str">
        <x:v>qwen_clean</x:v>
      </x:c>
      <x:c r="C99" s="2" t="n">
        <x:v>2</x:v>
      </x:c>
      <x:c r="D99" s="2" t="n">
        <x:f>SUMIFS('Grades'!$M$6:$M$1157,'Grades'!$B$6:$B$1157,A99,'Grades'!$C$6:$C$1157,B99,'Grades'!$D$6:$D$1157,C99)</x:f>
        <x:v>0</x:v>
      </x:c>
      <x:c r="E99" s="2" t="str">
        <x:f>IF(D99=8,SUMIFS('Grades'!$K$6:$K$1157,'Grades'!$B$6:$B$1157,A99,'Grades'!$C$6:$C$1157,B99,'Grades'!$D$6:$D$1157,C99),"")</x:f>
      </x:c>
      <x:c r="F99" s="11" t="str">
        <x:f>IF(ISNUMBER(E99),E99/8,"")</x:f>
      </x:c>
      <x:c r="G99" s="2" t="str">
        <x:f>IF(D99=8,SUMIFS('Grades'!$L$6:$L$1157,'Grades'!$B$6:$B$1157,A99,'Grades'!$C$6:$C$1157,B99,'Grades'!$D$6:$D$1157,C99),"")</x:f>
      </x:c>
      <x:c r="H99" s="11" t="str">
        <x:f>IF(ISNUMBER(G99),G99/8,"")</x:f>
      </x:c>
      <x:c r="I99" s="2" t="n">
        <x:f>COUNTIFS('Grades'!$B$6:$B$1157,A99,'Grades'!$C$6:$C$1157,B99,'Grades'!$D$6:$D$1157,C99,'Grades'!$K$6:$K$1157,"BLOCKED")</x:f>
        <x:v>0</x:v>
      </x:c>
    </x:row>
    <x:row r="100" ht="24" customHeight="1">
      <x:c r="A100" s="2" t="str">
        <x:v>S11</x:v>
      </x:c>
      <x:c r="B100" s="2" t="str">
        <x:v>qwen_clean</x:v>
      </x:c>
      <x:c r="C100" s="2" t="n">
        <x:v>2</x:v>
      </x:c>
      <x:c r="D100" s="2" t="n">
        <x:f>SUMIFS('Grades'!$M$6:$M$1157,'Grades'!$B$6:$B$1157,A100,'Grades'!$C$6:$C$1157,B100,'Grades'!$D$6:$D$1157,C100)</x:f>
        <x:v>0</x:v>
      </x:c>
      <x:c r="E100" s="2" t="str">
        <x:f>IF(D100=8,SUMIFS('Grades'!$K$6:$K$1157,'Grades'!$B$6:$B$1157,A100,'Grades'!$C$6:$C$1157,B100,'Grades'!$D$6:$D$1157,C100),"")</x:f>
      </x:c>
      <x:c r="F100" s="11" t="str">
        <x:f>IF(ISNUMBER(E100),E100/8,"")</x:f>
      </x:c>
      <x:c r="G100" s="2" t="str">
        <x:f>IF(D100=8,SUMIFS('Grades'!$L$6:$L$1157,'Grades'!$B$6:$B$1157,A100,'Grades'!$C$6:$C$1157,B100,'Grades'!$D$6:$D$1157,C100),"")</x:f>
      </x:c>
      <x:c r="H100" s="11" t="str">
        <x:f>IF(ISNUMBER(G100),G100/8,"")</x:f>
      </x:c>
      <x:c r="I100" s="2" t="n">
        <x:f>COUNTIFS('Grades'!$B$6:$B$1157,A100,'Grades'!$C$6:$C$1157,B100,'Grades'!$D$6:$D$1157,C100,'Grades'!$K$6:$K$1157,"BLOCKED")</x:f>
        <x:v>0</x:v>
      </x:c>
    </x:row>
    <x:row r="101" ht="24" customHeight="1">
      <x:c r="A101" s="2" t="str">
        <x:v>S12</x:v>
      </x:c>
      <x:c r="B101" s="2" t="str">
        <x:v>qwen_clean</x:v>
      </x:c>
      <x:c r="C101" s="2" t="n">
        <x:v>2</x:v>
      </x:c>
      <x:c r="D101" s="2" t="n">
        <x:f>SUMIFS('Grades'!$M$6:$M$1157,'Grades'!$B$6:$B$1157,A101,'Grades'!$C$6:$C$1157,B101,'Grades'!$D$6:$D$1157,C101)</x:f>
        <x:v>0</x:v>
      </x:c>
      <x:c r="E101" s="2" t="str">
        <x:f>IF(D101=8,SUMIFS('Grades'!$K$6:$K$1157,'Grades'!$B$6:$B$1157,A101,'Grades'!$C$6:$C$1157,B101,'Grades'!$D$6:$D$1157,C101),"")</x:f>
      </x:c>
      <x:c r="F101" s="11" t="str">
        <x:f>IF(ISNUMBER(E101),E101/8,"")</x:f>
      </x:c>
      <x:c r="G101" s="2" t="str">
        <x:f>IF(D101=8,SUMIFS('Grades'!$L$6:$L$1157,'Grades'!$B$6:$B$1157,A101,'Grades'!$C$6:$C$1157,B101,'Grades'!$D$6:$D$1157,C101),"")</x:f>
      </x:c>
      <x:c r="H101" s="11" t="str">
        <x:f>IF(ISNUMBER(G101),G101/8,"")</x:f>
      </x:c>
      <x:c r="I101" s="2" t="n">
        <x:f>COUNTIFS('Grades'!$B$6:$B$1157,A101,'Grades'!$C$6:$C$1157,B101,'Grades'!$D$6:$D$1157,C101,'Grades'!$K$6:$K$1157,"BLOCKED")</x:f>
        <x:v>0</x:v>
      </x:c>
    </x:row>
    <x:row r="102" ht="24" customHeight="1">
      <x:c r="A102" s="2" t="str">
        <x:v>S01</x:v>
      </x:c>
      <x:c r="B102" s="2" t="str">
        <x:v>qwen_clean</x:v>
      </x:c>
      <x:c r="C102" s="2" t="n">
        <x:v>3</x:v>
      </x:c>
      <x:c r="D102" s="2" t="n">
        <x:f>SUMIFS('Grades'!$M$6:$M$1157,'Grades'!$B$6:$B$1157,A102,'Grades'!$C$6:$C$1157,B102,'Grades'!$D$6:$D$1157,C102)</x:f>
        <x:v>0</x:v>
      </x:c>
      <x:c r="E102" s="2" t="str">
        <x:f>IF(D102=8,SUMIFS('Grades'!$K$6:$K$1157,'Grades'!$B$6:$B$1157,A102,'Grades'!$C$6:$C$1157,B102,'Grades'!$D$6:$D$1157,C102),"")</x:f>
      </x:c>
      <x:c r="F102" s="11" t="str">
        <x:f>IF(ISNUMBER(E102),E102/8,"")</x:f>
      </x:c>
      <x:c r="G102" s="2" t="str">
        <x:f>IF(D102=8,SUMIFS('Grades'!$L$6:$L$1157,'Grades'!$B$6:$B$1157,A102,'Grades'!$C$6:$C$1157,B102,'Grades'!$D$6:$D$1157,C102),"")</x:f>
      </x:c>
      <x:c r="H102" s="11" t="str">
        <x:f>IF(ISNUMBER(G102),G102/8,"")</x:f>
      </x:c>
      <x:c r="I102" s="2" t="n">
        <x:f>COUNTIFS('Grades'!$B$6:$B$1157,A102,'Grades'!$C$6:$C$1157,B102,'Grades'!$D$6:$D$1157,C102,'Grades'!$K$6:$K$1157,"BLOCKED")</x:f>
        <x:v>0</x:v>
      </x:c>
    </x:row>
    <x:row r="103" ht="24" customHeight="1">
      <x:c r="A103" s="2" t="str">
        <x:v>S02</x:v>
      </x:c>
      <x:c r="B103" s="2" t="str">
        <x:v>qwen_clean</x:v>
      </x:c>
      <x:c r="C103" s="2" t="n">
        <x:v>3</x:v>
      </x:c>
      <x:c r="D103" s="2" t="n">
        <x:f>SUMIFS('Grades'!$M$6:$M$1157,'Grades'!$B$6:$B$1157,A103,'Grades'!$C$6:$C$1157,B103,'Grades'!$D$6:$D$1157,C103)</x:f>
        <x:v>0</x:v>
      </x:c>
      <x:c r="E103" s="2" t="str">
        <x:f>IF(D103=8,SUMIFS('Grades'!$K$6:$K$1157,'Grades'!$B$6:$B$1157,A103,'Grades'!$C$6:$C$1157,B103,'Grades'!$D$6:$D$1157,C103),"")</x:f>
      </x:c>
      <x:c r="F103" s="11" t="str">
        <x:f>IF(ISNUMBER(E103),E103/8,"")</x:f>
      </x:c>
      <x:c r="G103" s="2" t="str">
        <x:f>IF(D103=8,SUMIFS('Grades'!$L$6:$L$1157,'Grades'!$B$6:$B$1157,A103,'Grades'!$C$6:$C$1157,B103,'Grades'!$D$6:$D$1157,C103),"")</x:f>
      </x:c>
      <x:c r="H103" s="11" t="str">
        <x:f>IF(ISNUMBER(G103),G103/8,"")</x:f>
      </x:c>
      <x:c r="I103" s="2" t="n">
        <x:f>COUNTIFS('Grades'!$B$6:$B$1157,A103,'Grades'!$C$6:$C$1157,B103,'Grades'!$D$6:$D$1157,C103,'Grades'!$K$6:$K$1157,"BLOCKED")</x:f>
        <x:v>0</x:v>
      </x:c>
    </x:row>
    <x:row r="104" ht="24" customHeight="1">
      <x:c r="A104" s="2" t="str">
        <x:v>S03</x:v>
      </x:c>
      <x:c r="B104" s="2" t="str">
        <x:v>qwen_clean</x:v>
      </x:c>
      <x:c r="C104" s="2" t="n">
        <x:v>3</x:v>
      </x:c>
      <x:c r="D104" s="2" t="n">
        <x:f>SUMIFS('Grades'!$M$6:$M$1157,'Grades'!$B$6:$B$1157,A104,'Grades'!$C$6:$C$1157,B104,'Grades'!$D$6:$D$1157,C104)</x:f>
        <x:v>0</x:v>
      </x:c>
      <x:c r="E104" s="2" t="str">
        <x:f>IF(D104=8,SUMIFS('Grades'!$K$6:$K$1157,'Grades'!$B$6:$B$1157,A104,'Grades'!$C$6:$C$1157,B104,'Grades'!$D$6:$D$1157,C104),"")</x:f>
      </x:c>
      <x:c r="F104" s="11" t="str">
        <x:f>IF(ISNUMBER(E104),E104/8,"")</x:f>
      </x:c>
      <x:c r="G104" s="2" t="str">
        <x:f>IF(D104=8,SUMIFS('Grades'!$L$6:$L$1157,'Grades'!$B$6:$B$1157,A104,'Grades'!$C$6:$C$1157,B104,'Grades'!$D$6:$D$1157,C104),"")</x:f>
      </x:c>
      <x:c r="H104" s="11" t="str">
        <x:f>IF(ISNUMBER(G104),G104/8,"")</x:f>
      </x:c>
      <x:c r="I104" s="2" t="n">
        <x:f>COUNTIFS('Grades'!$B$6:$B$1157,A104,'Grades'!$C$6:$C$1157,B104,'Grades'!$D$6:$D$1157,C104,'Grades'!$K$6:$K$1157,"BLOCKED")</x:f>
        <x:v>0</x:v>
      </x:c>
    </x:row>
    <x:row r="105" ht="24" customHeight="1">
      <x:c r="A105" s="2" t="str">
        <x:v>S04</x:v>
      </x:c>
      <x:c r="B105" s="2" t="str">
        <x:v>qwen_clean</x:v>
      </x:c>
      <x:c r="C105" s="2" t="n">
        <x:v>3</x:v>
      </x:c>
      <x:c r="D105" s="2" t="n">
        <x:f>SUMIFS('Grades'!$M$6:$M$1157,'Grades'!$B$6:$B$1157,A105,'Grades'!$C$6:$C$1157,B105,'Grades'!$D$6:$D$1157,C105)</x:f>
        <x:v>0</x:v>
      </x:c>
      <x:c r="E105" s="2" t="str">
        <x:f>IF(D105=8,SUMIFS('Grades'!$K$6:$K$1157,'Grades'!$B$6:$B$1157,A105,'Grades'!$C$6:$C$1157,B105,'Grades'!$D$6:$D$1157,C105),"")</x:f>
      </x:c>
      <x:c r="F105" s="11" t="str">
        <x:f>IF(ISNUMBER(E105),E105/8,"")</x:f>
      </x:c>
      <x:c r="G105" s="2" t="str">
        <x:f>IF(D105=8,SUMIFS('Grades'!$L$6:$L$1157,'Grades'!$B$6:$B$1157,A105,'Grades'!$C$6:$C$1157,B105,'Grades'!$D$6:$D$1157,C105),"")</x:f>
      </x:c>
      <x:c r="H105" s="11" t="str">
        <x:f>IF(ISNUMBER(G105),G105/8,"")</x:f>
      </x:c>
      <x:c r="I105" s="2" t="n">
        <x:f>COUNTIFS('Grades'!$B$6:$B$1157,A105,'Grades'!$C$6:$C$1157,B105,'Grades'!$D$6:$D$1157,C105,'Grades'!$K$6:$K$1157,"BLOCKED")</x:f>
        <x:v>0</x:v>
      </x:c>
    </x:row>
    <x:row r="106" ht="24" customHeight="1">
      <x:c r="A106" s="2" t="str">
        <x:v>S05</x:v>
      </x:c>
      <x:c r="B106" s="2" t="str">
        <x:v>qwen_clean</x:v>
      </x:c>
      <x:c r="C106" s="2" t="n">
        <x:v>3</x:v>
      </x:c>
      <x:c r="D106" s="2" t="n">
        <x:f>SUMIFS('Grades'!$M$6:$M$1157,'Grades'!$B$6:$B$1157,A106,'Grades'!$C$6:$C$1157,B106,'Grades'!$D$6:$D$1157,C106)</x:f>
        <x:v>0</x:v>
      </x:c>
      <x:c r="E106" s="2" t="str">
        <x:f>IF(D106=8,SUMIFS('Grades'!$K$6:$K$1157,'Grades'!$B$6:$B$1157,A106,'Grades'!$C$6:$C$1157,B106,'Grades'!$D$6:$D$1157,C106),"")</x:f>
      </x:c>
      <x:c r="F106" s="11" t="str">
        <x:f>IF(ISNUMBER(E106),E106/8,"")</x:f>
      </x:c>
      <x:c r="G106" s="2" t="str">
        <x:f>IF(D106=8,SUMIFS('Grades'!$L$6:$L$1157,'Grades'!$B$6:$B$1157,A106,'Grades'!$C$6:$C$1157,B106,'Grades'!$D$6:$D$1157,C106),"")</x:f>
      </x:c>
      <x:c r="H106" s="11" t="str">
        <x:f>IF(ISNUMBER(G106),G106/8,"")</x:f>
      </x:c>
      <x:c r="I106" s="2" t="n">
        <x:f>COUNTIFS('Grades'!$B$6:$B$1157,A106,'Grades'!$C$6:$C$1157,B106,'Grades'!$D$6:$D$1157,C106,'Grades'!$K$6:$K$1157,"BLOCKED")</x:f>
        <x:v>0</x:v>
      </x:c>
    </x:row>
    <x:row r="107" ht="24" customHeight="1">
      <x:c r="A107" s="2" t="str">
        <x:v>S06</x:v>
      </x:c>
      <x:c r="B107" s="2" t="str">
        <x:v>qwen_clean</x:v>
      </x:c>
      <x:c r="C107" s="2" t="n">
        <x:v>3</x:v>
      </x:c>
      <x:c r="D107" s="2" t="n">
        <x:f>SUMIFS('Grades'!$M$6:$M$1157,'Grades'!$B$6:$B$1157,A107,'Grades'!$C$6:$C$1157,B107,'Grades'!$D$6:$D$1157,C107)</x:f>
        <x:v>0</x:v>
      </x:c>
      <x:c r="E107" s="2" t="str">
        <x:f>IF(D107=8,SUMIFS('Grades'!$K$6:$K$1157,'Grades'!$B$6:$B$1157,A107,'Grades'!$C$6:$C$1157,B107,'Grades'!$D$6:$D$1157,C107),"")</x:f>
      </x:c>
      <x:c r="F107" s="11" t="str">
        <x:f>IF(ISNUMBER(E107),E107/8,"")</x:f>
      </x:c>
      <x:c r="G107" s="2" t="str">
        <x:f>IF(D107=8,SUMIFS('Grades'!$L$6:$L$1157,'Grades'!$B$6:$B$1157,A107,'Grades'!$C$6:$C$1157,B107,'Grades'!$D$6:$D$1157,C107),"")</x:f>
      </x:c>
      <x:c r="H107" s="11" t="str">
        <x:f>IF(ISNUMBER(G107),G107/8,"")</x:f>
      </x:c>
      <x:c r="I107" s="2" t="n">
        <x:f>COUNTIFS('Grades'!$B$6:$B$1157,A107,'Grades'!$C$6:$C$1157,B107,'Grades'!$D$6:$D$1157,C107,'Grades'!$K$6:$K$1157,"BLOCKED")</x:f>
        <x:v>0</x:v>
      </x:c>
    </x:row>
    <x:row r="108" ht="24" customHeight="1">
      <x:c r="A108" s="2" t="str">
        <x:v>S07</x:v>
      </x:c>
      <x:c r="B108" s="2" t="str">
        <x:v>qwen_clean</x:v>
      </x:c>
      <x:c r="C108" s="2" t="n">
        <x:v>3</x:v>
      </x:c>
      <x:c r="D108" s="2" t="n">
        <x:f>SUMIFS('Grades'!$M$6:$M$1157,'Grades'!$B$6:$B$1157,A108,'Grades'!$C$6:$C$1157,B108,'Grades'!$D$6:$D$1157,C108)</x:f>
        <x:v>0</x:v>
      </x:c>
      <x:c r="E108" s="2" t="str">
        <x:f>IF(D108=8,SUMIFS('Grades'!$K$6:$K$1157,'Grades'!$B$6:$B$1157,A108,'Grades'!$C$6:$C$1157,B108,'Grades'!$D$6:$D$1157,C108),"")</x:f>
      </x:c>
      <x:c r="F108" s="11" t="str">
        <x:f>IF(ISNUMBER(E108),E108/8,"")</x:f>
      </x:c>
      <x:c r="G108" s="2" t="str">
        <x:f>IF(D108=8,SUMIFS('Grades'!$L$6:$L$1157,'Grades'!$B$6:$B$1157,A108,'Grades'!$C$6:$C$1157,B108,'Grades'!$D$6:$D$1157,C108),"")</x:f>
      </x:c>
      <x:c r="H108" s="11" t="str">
        <x:f>IF(ISNUMBER(G108),G108/8,"")</x:f>
      </x:c>
      <x:c r="I108" s="2" t="n">
        <x:f>COUNTIFS('Grades'!$B$6:$B$1157,A108,'Grades'!$C$6:$C$1157,B108,'Grades'!$D$6:$D$1157,C108,'Grades'!$K$6:$K$1157,"BLOCKED")</x:f>
        <x:v>0</x:v>
      </x:c>
    </x:row>
    <x:row r="109" ht="24" customHeight="1">
      <x:c r="A109" s="2" t="str">
        <x:v>S08</x:v>
      </x:c>
      <x:c r="B109" s="2" t="str">
        <x:v>qwen_clean</x:v>
      </x:c>
      <x:c r="C109" s="2" t="n">
        <x:v>3</x:v>
      </x:c>
      <x:c r="D109" s="2" t="n">
        <x:f>SUMIFS('Grades'!$M$6:$M$1157,'Grades'!$B$6:$B$1157,A109,'Grades'!$C$6:$C$1157,B109,'Grades'!$D$6:$D$1157,C109)</x:f>
        <x:v>0</x:v>
      </x:c>
      <x:c r="E109" s="2" t="str">
        <x:f>IF(D109=8,SUMIFS('Grades'!$K$6:$K$1157,'Grades'!$B$6:$B$1157,A109,'Grades'!$C$6:$C$1157,B109,'Grades'!$D$6:$D$1157,C109),"")</x:f>
      </x:c>
      <x:c r="F109" s="11" t="str">
        <x:f>IF(ISNUMBER(E109),E109/8,"")</x:f>
      </x:c>
      <x:c r="G109" s="2" t="str">
        <x:f>IF(D109=8,SUMIFS('Grades'!$L$6:$L$1157,'Grades'!$B$6:$B$1157,A109,'Grades'!$C$6:$C$1157,B109,'Grades'!$D$6:$D$1157,C109),"")</x:f>
      </x:c>
      <x:c r="H109" s="11" t="str">
        <x:f>IF(ISNUMBER(G109),G109/8,"")</x:f>
      </x:c>
      <x:c r="I109" s="2" t="n">
        <x:f>COUNTIFS('Grades'!$B$6:$B$1157,A109,'Grades'!$C$6:$C$1157,B109,'Grades'!$D$6:$D$1157,C109,'Grades'!$K$6:$K$1157,"BLOCKED")</x:f>
        <x:v>0</x:v>
      </x:c>
    </x:row>
    <x:row r="110" ht="24" customHeight="1">
      <x:c r="A110" s="2" t="str">
        <x:v>S09</x:v>
      </x:c>
      <x:c r="B110" s="2" t="str">
        <x:v>qwen_clean</x:v>
      </x:c>
      <x:c r="C110" s="2" t="n">
        <x:v>3</x:v>
      </x:c>
      <x:c r="D110" s="2" t="n">
        <x:f>SUMIFS('Grades'!$M$6:$M$1157,'Grades'!$B$6:$B$1157,A110,'Grades'!$C$6:$C$1157,B110,'Grades'!$D$6:$D$1157,C110)</x:f>
        <x:v>0</x:v>
      </x:c>
      <x:c r="E110" s="2" t="str">
        <x:f>IF(D110=8,SUMIFS('Grades'!$K$6:$K$1157,'Grades'!$B$6:$B$1157,A110,'Grades'!$C$6:$C$1157,B110,'Grades'!$D$6:$D$1157,C110),"")</x:f>
      </x:c>
      <x:c r="F110" s="11" t="str">
        <x:f>IF(ISNUMBER(E110),E110/8,"")</x:f>
      </x:c>
      <x:c r="G110" s="2" t="str">
        <x:f>IF(D110=8,SUMIFS('Grades'!$L$6:$L$1157,'Grades'!$B$6:$B$1157,A110,'Grades'!$C$6:$C$1157,B110,'Grades'!$D$6:$D$1157,C110),"")</x:f>
      </x:c>
      <x:c r="H110" s="11" t="str">
        <x:f>IF(ISNUMBER(G110),G110/8,"")</x:f>
      </x:c>
      <x:c r="I110" s="2" t="n">
        <x:f>COUNTIFS('Grades'!$B$6:$B$1157,A110,'Grades'!$C$6:$C$1157,B110,'Grades'!$D$6:$D$1157,C110,'Grades'!$K$6:$K$1157,"BLOCKED")</x:f>
        <x:v>0</x:v>
      </x:c>
    </x:row>
    <x:row r="111" ht="24" customHeight="1">
      <x:c r="A111" s="2" t="str">
        <x:v>S10</x:v>
      </x:c>
      <x:c r="B111" s="2" t="str">
        <x:v>qwen_clean</x:v>
      </x:c>
      <x:c r="C111" s="2" t="n">
        <x:v>3</x:v>
      </x:c>
      <x:c r="D111" s="2" t="n">
        <x:f>SUMIFS('Grades'!$M$6:$M$1157,'Grades'!$B$6:$B$1157,A111,'Grades'!$C$6:$C$1157,B111,'Grades'!$D$6:$D$1157,C111)</x:f>
        <x:v>0</x:v>
      </x:c>
      <x:c r="E111" s="2" t="str">
        <x:f>IF(D111=8,SUMIFS('Grades'!$K$6:$K$1157,'Grades'!$B$6:$B$1157,A111,'Grades'!$C$6:$C$1157,B111,'Grades'!$D$6:$D$1157,C111),"")</x:f>
      </x:c>
      <x:c r="F111" s="11" t="str">
        <x:f>IF(ISNUMBER(E111),E111/8,"")</x:f>
      </x:c>
      <x:c r="G111" s="2" t="str">
        <x:f>IF(D111=8,SUMIFS('Grades'!$L$6:$L$1157,'Grades'!$B$6:$B$1157,A111,'Grades'!$C$6:$C$1157,B111,'Grades'!$D$6:$D$1157,C111),"")</x:f>
      </x:c>
      <x:c r="H111" s="11" t="str">
        <x:f>IF(ISNUMBER(G111),G111/8,"")</x:f>
      </x:c>
      <x:c r="I111" s="2" t="n">
        <x:f>COUNTIFS('Grades'!$B$6:$B$1157,A111,'Grades'!$C$6:$C$1157,B111,'Grades'!$D$6:$D$1157,C111,'Grades'!$K$6:$K$1157,"BLOCKED")</x:f>
        <x:v>0</x:v>
      </x:c>
    </x:row>
    <x:row r="112" ht="24" customHeight="1">
      <x:c r="A112" s="2" t="str">
        <x:v>S11</x:v>
      </x:c>
      <x:c r="B112" s="2" t="str">
        <x:v>qwen_clean</x:v>
      </x:c>
      <x:c r="C112" s="2" t="n">
        <x:v>3</x:v>
      </x:c>
      <x:c r="D112" s="2" t="n">
        <x:f>SUMIFS('Grades'!$M$6:$M$1157,'Grades'!$B$6:$B$1157,A112,'Grades'!$C$6:$C$1157,B112,'Grades'!$D$6:$D$1157,C112)</x:f>
        <x:v>0</x:v>
      </x:c>
      <x:c r="E112" s="2" t="str">
        <x:f>IF(D112=8,SUMIFS('Grades'!$K$6:$K$1157,'Grades'!$B$6:$B$1157,A112,'Grades'!$C$6:$C$1157,B112,'Grades'!$D$6:$D$1157,C112),"")</x:f>
      </x:c>
      <x:c r="F112" s="11" t="str">
        <x:f>IF(ISNUMBER(E112),E112/8,"")</x:f>
      </x:c>
      <x:c r="G112" s="2" t="str">
        <x:f>IF(D112=8,SUMIFS('Grades'!$L$6:$L$1157,'Grades'!$B$6:$B$1157,A112,'Grades'!$C$6:$C$1157,B112,'Grades'!$D$6:$D$1157,C112),"")</x:f>
      </x:c>
      <x:c r="H112" s="11" t="str">
        <x:f>IF(ISNUMBER(G112),G112/8,"")</x:f>
      </x:c>
      <x:c r="I112" s="2" t="n">
        <x:f>COUNTIFS('Grades'!$B$6:$B$1157,A112,'Grades'!$C$6:$C$1157,B112,'Grades'!$D$6:$D$1157,C112,'Grades'!$K$6:$K$1157,"BLOCKED")</x:f>
        <x:v>0</x:v>
      </x:c>
    </x:row>
    <x:row r="113" ht="24" customHeight="1">
      <x:c r="A113" s="2" t="str">
        <x:v>S12</x:v>
      </x:c>
      <x:c r="B113" s="2" t="str">
        <x:v>qwen_clean</x:v>
      </x:c>
      <x:c r="C113" s="2" t="n">
        <x:v>3</x:v>
      </x:c>
      <x:c r="D113" s="2" t="n">
        <x:f>SUMIFS('Grades'!$M$6:$M$1157,'Grades'!$B$6:$B$1157,A113,'Grades'!$C$6:$C$1157,B113,'Grades'!$D$6:$D$1157,C113)</x:f>
        <x:v>0</x:v>
      </x:c>
      <x:c r="E113" s="2" t="str">
        <x:f>IF(D113=8,SUMIFS('Grades'!$K$6:$K$1157,'Grades'!$B$6:$B$1157,A113,'Grades'!$C$6:$C$1157,B113,'Grades'!$D$6:$D$1157,C113),"")</x:f>
      </x:c>
      <x:c r="F113" s="11" t="str">
        <x:f>IF(ISNUMBER(E113),E113/8,"")</x:f>
      </x:c>
      <x:c r="G113" s="2" t="str">
        <x:f>IF(D113=8,SUMIFS('Grades'!$L$6:$L$1157,'Grades'!$B$6:$B$1157,A113,'Grades'!$C$6:$C$1157,B113,'Grades'!$D$6:$D$1157,C113),"")</x:f>
      </x:c>
      <x:c r="H113" s="11" t="str">
        <x:f>IF(ISNUMBER(G113),G113/8,"")</x:f>
      </x:c>
      <x:c r="I113" s="2" t="n">
        <x:f>COUNTIFS('Grades'!$B$6:$B$1157,A113,'Grades'!$C$6:$C$1157,B113,'Grades'!$D$6:$D$1157,C113,'Grades'!$K$6:$K$1157,"BLOCKED")</x:f>
        <x:v>0</x:v>
      </x:c>
    </x:row>
    <x:row r="114" ht="24" customHeight="1">
      <x:c r="A114" s="2" t="str">
        <x:v>S01</x:v>
      </x:c>
      <x:c r="B114" s="2" t="str">
        <x:v>qwen_connected</x:v>
      </x:c>
      <x:c r="C114" s="2" t="n">
        <x:v>1</x:v>
      </x:c>
      <x:c r="D114" s="2" t="n">
        <x:f>SUMIFS('Grades'!$M$6:$M$1157,'Grades'!$B$6:$B$1157,A114,'Grades'!$C$6:$C$1157,B114,'Grades'!$D$6:$D$1157,C114)</x:f>
        <x:v>0</x:v>
      </x:c>
      <x:c r="E114" s="2" t="str">
        <x:f>IF(D114=8,SUMIFS('Grades'!$K$6:$K$1157,'Grades'!$B$6:$B$1157,A114,'Grades'!$C$6:$C$1157,B114,'Grades'!$D$6:$D$1157,C114),"")</x:f>
      </x:c>
      <x:c r="F114" s="11" t="str">
        <x:f>IF(ISNUMBER(E114),E114/8,"")</x:f>
      </x:c>
      <x:c r="G114" s="2" t="str">
        <x:f>IF(D114=8,SUMIFS('Grades'!$L$6:$L$1157,'Grades'!$B$6:$B$1157,A114,'Grades'!$C$6:$C$1157,B114,'Grades'!$D$6:$D$1157,C114),"")</x:f>
      </x:c>
      <x:c r="H114" s="11" t="str">
        <x:f>IF(ISNUMBER(G114),G114/8,"")</x:f>
      </x:c>
      <x:c r="I114" s="2" t="n">
        <x:f>COUNTIFS('Grades'!$B$6:$B$1157,A114,'Grades'!$C$6:$C$1157,B114,'Grades'!$D$6:$D$1157,C114,'Grades'!$K$6:$K$1157,"BLOCKED")</x:f>
        <x:v>0</x:v>
      </x:c>
    </x:row>
    <x:row r="115" ht="24" customHeight="1">
      <x:c r="A115" s="2" t="str">
        <x:v>S02</x:v>
      </x:c>
      <x:c r="B115" s="2" t="str">
        <x:v>qwen_connected</x:v>
      </x:c>
      <x:c r="C115" s="2" t="n">
        <x:v>1</x:v>
      </x:c>
      <x:c r="D115" s="2" t="n">
        <x:f>SUMIFS('Grades'!$M$6:$M$1157,'Grades'!$B$6:$B$1157,A115,'Grades'!$C$6:$C$1157,B115,'Grades'!$D$6:$D$1157,C115)</x:f>
        <x:v>0</x:v>
      </x:c>
      <x:c r="E115" s="2" t="str">
        <x:f>IF(D115=8,SUMIFS('Grades'!$K$6:$K$1157,'Grades'!$B$6:$B$1157,A115,'Grades'!$C$6:$C$1157,B115,'Grades'!$D$6:$D$1157,C115),"")</x:f>
      </x:c>
      <x:c r="F115" s="11" t="str">
        <x:f>IF(ISNUMBER(E115),E115/8,"")</x:f>
      </x:c>
      <x:c r="G115" s="2" t="str">
        <x:f>IF(D115=8,SUMIFS('Grades'!$L$6:$L$1157,'Grades'!$B$6:$B$1157,A115,'Grades'!$C$6:$C$1157,B115,'Grades'!$D$6:$D$1157,C115),"")</x:f>
      </x:c>
      <x:c r="H115" s="11" t="str">
        <x:f>IF(ISNUMBER(G115),G115/8,"")</x:f>
      </x:c>
      <x:c r="I115" s="2" t="n">
        <x:f>COUNTIFS('Grades'!$B$6:$B$1157,A115,'Grades'!$C$6:$C$1157,B115,'Grades'!$D$6:$D$1157,C115,'Grades'!$K$6:$K$1157,"BLOCKED")</x:f>
        <x:v>0</x:v>
      </x:c>
    </x:row>
    <x:row r="116" ht="24" customHeight="1">
      <x:c r="A116" s="2" t="str">
        <x:v>S03</x:v>
      </x:c>
      <x:c r="B116" s="2" t="str">
        <x:v>qwen_connected</x:v>
      </x:c>
      <x:c r="C116" s="2" t="n">
        <x:v>1</x:v>
      </x:c>
      <x:c r="D116" s="2" t="n">
        <x:f>SUMIFS('Grades'!$M$6:$M$1157,'Grades'!$B$6:$B$1157,A116,'Grades'!$C$6:$C$1157,B116,'Grades'!$D$6:$D$1157,C116)</x:f>
        <x:v>0</x:v>
      </x:c>
      <x:c r="E116" s="2" t="str">
        <x:f>IF(D116=8,SUMIFS('Grades'!$K$6:$K$1157,'Grades'!$B$6:$B$1157,A116,'Grades'!$C$6:$C$1157,B116,'Grades'!$D$6:$D$1157,C116),"")</x:f>
      </x:c>
      <x:c r="F116" s="11" t="str">
        <x:f>IF(ISNUMBER(E116),E116/8,"")</x:f>
      </x:c>
      <x:c r="G116" s="2" t="str">
        <x:f>IF(D116=8,SUMIFS('Grades'!$L$6:$L$1157,'Grades'!$B$6:$B$1157,A116,'Grades'!$C$6:$C$1157,B116,'Grades'!$D$6:$D$1157,C116),"")</x:f>
      </x:c>
      <x:c r="H116" s="11" t="str">
        <x:f>IF(ISNUMBER(G116),G116/8,"")</x:f>
      </x:c>
      <x:c r="I116" s="2" t="n">
        <x:f>COUNTIFS('Grades'!$B$6:$B$1157,A116,'Grades'!$C$6:$C$1157,B116,'Grades'!$D$6:$D$1157,C116,'Grades'!$K$6:$K$1157,"BLOCKED")</x:f>
        <x:v>0</x:v>
      </x:c>
    </x:row>
    <x:row r="117" ht="24" customHeight="1">
      <x:c r="A117" s="2" t="str">
        <x:v>S04</x:v>
      </x:c>
      <x:c r="B117" s="2" t="str">
        <x:v>qwen_connected</x:v>
      </x:c>
      <x:c r="C117" s="2" t="n">
        <x:v>1</x:v>
      </x:c>
      <x:c r="D117" s="2" t="n">
        <x:f>SUMIFS('Grades'!$M$6:$M$1157,'Grades'!$B$6:$B$1157,A117,'Grades'!$C$6:$C$1157,B117,'Grades'!$D$6:$D$1157,C117)</x:f>
        <x:v>0</x:v>
      </x:c>
      <x:c r="E117" s="2" t="str">
        <x:f>IF(D117=8,SUMIFS('Grades'!$K$6:$K$1157,'Grades'!$B$6:$B$1157,A117,'Grades'!$C$6:$C$1157,B117,'Grades'!$D$6:$D$1157,C117),"")</x:f>
      </x:c>
      <x:c r="F117" s="11" t="str">
        <x:f>IF(ISNUMBER(E117),E117/8,"")</x:f>
      </x:c>
      <x:c r="G117" s="2" t="str">
        <x:f>IF(D117=8,SUMIFS('Grades'!$L$6:$L$1157,'Grades'!$B$6:$B$1157,A117,'Grades'!$C$6:$C$1157,B117,'Grades'!$D$6:$D$1157,C117),"")</x:f>
      </x:c>
      <x:c r="H117" s="11" t="str">
        <x:f>IF(ISNUMBER(G117),G117/8,"")</x:f>
      </x:c>
      <x:c r="I117" s="2" t="n">
        <x:f>COUNTIFS('Grades'!$B$6:$B$1157,A117,'Grades'!$C$6:$C$1157,B117,'Grades'!$D$6:$D$1157,C117,'Grades'!$K$6:$K$1157,"BLOCKED")</x:f>
        <x:v>0</x:v>
      </x:c>
    </x:row>
    <x:row r="118" ht="24" customHeight="1">
      <x:c r="A118" s="2" t="str">
        <x:v>S05</x:v>
      </x:c>
      <x:c r="B118" s="2" t="str">
        <x:v>qwen_connected</x:v>
      </x:c>
      <x:c r="C118" s="2" t="n">
        <x:v>1</x:v>
      </x:c>
      <x:c r="D118" s="2" t="n">
        <x:f>SUMIFS('Grades'!$M$6:$M$1157,'Grades'!$B$6:$B$1157,A118,'Grades'!$C$6:$C$1157,B118,'Grades'!$D$6:$D$1157,C118)</x:f>
        <x:v>0</x:v>
      </x:c>
      <x:c r="E118" s="2" t="str">
        <x:f>IF(D118=8,SUMIFS('Grades'!$K$6:$K$1157,'Grades'!$B$6:$B$1157,A118,'Grades'!$C$6:$C$1157,B118,'Grades'!$D$6:$D$1157,C118),"")</x:f>
      </x:c>
      <x:c r="F118" s="11" t="str">
        <x:f>IF(ISNUMBER(E118),E118/8,"")</x:f>
      </x:c>
      <x:c r="G118" s="2" t="str">
        <x:f>IF(D118=8,SUMIFS('Grades'!$L$6:$L$1157,'Grades'!$B$6:$B$1157,A118,'Grades'!$C$6:$C$1157,B118,'Grades'!$D$6:$D$1157,C118),"")</x:f>
      </x:c>
      <x:c r="H118" s="11" t="str">
        <x:f>IF(ISNUMBER(G118),G118/8,"")</x:f>
      </x:c>
      <x:c r="I118" s="2" t="n">
        <x:f>COUNTIFS('Grades'!$B$6:$B$1157,A118,'Grades'!$C$6:$C$1157,B118,'Grades'!$D$6:$D$1157,C118,'Grades'!$K$6:$K$1157,"BLOCKED")</x:f>
        <x:v>0</x:v>
      </x:c>
    </x:row>
    <x:row r="119" ht="24" customHeight="1">
      <x:c r="A119" s="2" t="str">
        <x:v>S06</x:v>
      </x:c>
      <x:c r="B119" s="2" t="str">
        <x:v>qwen_connected</x:v>
      </x:c>
      <x:c r="C119" s="2" t="n">
        <x:v>1</x:v>
      </x:c>
      <x:c r="D119" s="2" t="n">
        <x:f>SUMIFS('Grades'!$M$6:$M$1157,'Grades'!$B$6:$B$1157,A119,'Grades'!$C$6:$C$1157,B119,'Grades'!$D$6:$D$1157,C119)</x:f>
        <x:v>0</x:v>
      </x:c>
      <x:c r="E119" s="2" t="str">
        <x:f>IF(D119=8,SUMIFS('Grades'!$K$6:$K$1157,'Grades'!$B$6:$B$1157,A119,'Grades'!$C$6:$C$1157,B119,'Grades'!$D$6:$D$1157,C119),"")</x:f>
      </x:c>
      <x:c r="F119" s="11" t="str">
        <x:f>IF(ISNUMBER(E119),E119/8,"")</x:f>
      </x:c>
      <x:c r="G119" s="2" t="str">
        <x:f>IF(D119=8,SUMIFS('Grades'!$L$6:$L$1157,'Grades'!$B$6:$B$1157,A119,'Grades'!$C$6:$C$1157,B119,'Grades'!$D$6:$D$1157,C119),"")</x:f>
      </x:c>
      <x:c r="H119" s="11" t="str">
        <x:f>IF(ISNUMBER(G119),G119/8,"")</x:f>
      </x:c>
      <x:c r="I119" s="2" t="n">
        <x:f>COUNTIFS('Grades'!$B$6:$B$1157,A119,'Grades'!$C$6:$C$1157,B119,'Grades'!$D$6:$D$1157,C119,'Grades'!$K$6:$K$1157,"BLOCKED")</x:f>
        <x:v>0</x:v>
      </x:c>
    </x:row>
    <x:row r="120" ht="24" customHeight="1">
      <x:c r="A120" s="2" t="str">
        <x:v>S07</x:v>
      </x:c>
      <x:c r="B120" s="2" t="str">
        <x:v>qwen_connected</x:v>
      </x:c>
      <x:c r="C120" s="2" t="n">
        <x:v>1</x:v>
      </x:c>
      <x:c r="D120" s="2" t="n">
        <x:f>SUMIFS('Grades'!$M$6:$M$1157,'Grades'!$B$6:$B$1157,A120,'Grades'!$C$6:$C$1157,B120,'Grades'!$D$6:$D$1157,C120)</x:f>
        <x:v>0</x:v>
      </x:c>
      <x:c r="E120" s="2" t="str">
        <x:f>IF(D120=8,SUMIFS('Grades'!$K$6:$K$1157,'Grades'!$B$6:$B$1157,A120,'Grades'!$C$6:$C$1157,B120,'Grades'!$D$6:$D$1157,C120),"")</x:f>
      </x:c>
      <x:c r="F120" s="11" t="str">
        <x:f>IF(ISNUMBER(E120),E120/8,"")</x:f>
      </x:c>
      <x:c r="G120" s="2" t="str">
        <x:f>IF(D120=8,SUMIFS('Grades'!$L$6:$L$1157,'Grades'!$B$6:$B$1157,A120,'Grades'!$C$6:$C$1157,B120,'Grades'!$D$6:$D$1157,C120),"")</x:f>
      </x:c>
      <x:c r="H120" s="11" t="str">
        <x:f>IF(ISNUMBER(G120),G120/8,"")</x:f>
      </x:c>
      <x:c r="I120" s="2" t="n">
        <x:f>COUNTIFS('Grades'!$B$6:$B$1157,A120,'Grades'!$C$6:$C$1157,B120,'Grades'!$D$6:$D$1157,C120,'Grades'!$K$6:$K$1157,"BLOCKED")</x:f>
        <x:v>0</x:v>
      </x:c>
    </x:row>
    <x:row r="121" ht="24" customHeight="1">
      <x:c r="A121" s="2" t="str">
        <x:v>S08</x:v>
      </x:c>
      <x:c r="B121" s="2" t="str">
        <x:v>qwen_connected</x:v>
      </x:c>
      <x:c r="C121" s="2" t="n">
        <x:v>1</x:v>
      </x:c>
      <x:c r="D121" s="2" t="n">
        <x:f>SUMIFS('Grades'!$M$6:$M$1157,'Grades'!$B$6:$B$1157,A121,'Grades'!$C$6:$C$1157,B121,'Grades'!$D$6:$D$1157,C121)</x:f>
        <x:v>0</x:v>
      </x:c>
      <x:c r="E121" s="2" t="str">
        <x:f>IF(D121=8,SUMIFS('Grades'!$K$6:$K$1157,'Grades'!$B$6:$B$1157,A121,'Grades'!$C$6:$C$1157,B121,'Grades'!$D$6:$D$1157,C121),"")</x:f>
      </x:c>
      <x:c r="F121" s="11" t="str">
        <x:f>IF(ISNUMBER(E121),E121/8,"")</x:f>
      </x:c>
      <x:c r="G121" s="2" t="str">
        <x:f>IF(D121=8,SUMIFS('Grades'!$L$6:$L$1157,'Grades'!$B$6:$B$1157,A121,'Grades'!$C$6:$C$1157,B121,'Grades'!$D$6:$D$1157,C121),"")</x:f>
      </x:c>
      <x:c r="H121" s="11" t="str">
        <x:f>IF(ISNUMBER(G121),G121/8,"")</x:f>
      </x:c>
      <x:c r="I121" s="2" t="n">
        <x:f>COUNTIFS('Grades'!$B$6:$B$1157,A121,'Grades'!$C$6:$C$1157,B121,'Grades'!$D$6:$D$1157,C121,'Grades'!$K$6:$K$1157,"BLOCKED")</x:f>
        <x:v>0</x:v>
      </x:c>
    </x:row>
    <x:row r="122" ht="24" customHeight="1">
      <x:c r="A122" s="2" t="str">
        <x:v>S09</x:v>
      </x:c>
      <x:c r="B122" s="2" t="str">
        <x:v>qwen_connected</x:v>
      </x:c>
      <x:c r="C122" s="2" t="n">
        <x:v>1</x:v>
      </x:c>
      <x:c r="D122" s="2" t="n">
        <x:f>SUMIFS('Grades'!$M$6:$M$1157,'Grades'!$B$6:$B$1157,A122,'Grades'!$C$6:$C$1157,B122,'Grades'!$D$6:$D$1157,C122)</x:f>
        <x:v>0</x:v>
      </x:c>
      <x:c r="E122" s="2" t="str">
        <x:f>IF(D122=8,SUMIFS('Grades'!$K$6:$K$1157,'Grades'!$B$6:$B$1157,A122,'Grades'!$C$6:$C$1157,B122,'Grades'!$D$6:$D$1157,C122),"")</x:f>
      </x:c>
      <x:c r="F122" s="11" t="str">
        <x:f>IF(ISNUMBER(E122),E122/8,"")</x:f>
      </x:c>
      <x:c r="G122" s="2" t="str">
        <x:f>IF(D122=8,SUMIFS('Grades'!$L$6:$L$1157,'Grades'!$B$6:$B$1157,A122,'Grades'!$C$6:$C$1157,B122,'Grades'!$D$6:$D$1157,C122),"")</x:f>
      </x:c>
      <x:c r="H122" s="11" t="str">
        <x:f>IF(ISNUMBER(G122),G122/8,"")</x:f>
      </x:c>
      <x:c r="I122" s="2" t="n">
        <x:f>COUNTIFS('Grades'!$B$6:$B$1157,A122,'Grades'!$C$6:$C$1157,B122,'Grades'!$D$6:$D$1157,C122,'Grades'!$K$6:$K$1157,"BLOCKED")</x:f>
        <x:v>0</x:v>
      </x:c>
    </x:row>
    <x:row r="123" ht="24" customHeight="1">
      <x:c r="A123" s="2" t="str">
        <x:v>S10</x:v>
      </x:c>
      <x:c r="B123" s="2" t="str">
        <x:v>qwen_connected</x:v>
      </x:c>
      <x:c r="C123" s="2" t="n">
        <x:v>1</x:v>
      </x:c>
      <x:c r="D123" s="2" t="n">
        <x:f>SUMIFS('Grades'!$M$6:$M$1157,'Grades'!$B$6:$B$1157,A123,'Grades'!$C$6:$C$1157,B123,'Grades'!$D$6:$D$1157,C123)</x:f>
        <x:v>0</x:v>
      </x:c>
      <x:c r="E123" s="2" t="str">
        <x:f>IF(D123=8,SUMIFS('Grades'!$K$6:$K$1157,'Grades'!$B$6:$B$1157,A123,'Grades'!$C$6:$C$1157,B123,'Grades'!$D$6:$D$1157,C123),"")</x:f>
      </x:c>
      <x:c r="F123" s="11" t="str">
        <x:f>IF(ISNUMBER(E123),E123/8,"")</x:f>
      </x:c>
      <x:c r="G123" s="2" t="str">
        <x:f>IF(D123=8,SUMIFS('Grades'!$L$6:$L$1157,'Grades'!$B$6:$B$1157,A123,'Grades'!$C$6:$C$1157,B123,'Grades'!$D$6:$D$1157,C123),"")</x:f>
      </x:c>
      <x:c r="H123" s="11" t="str">
        <x:f>IF(ISNUMBER(G123),G123/8,"")</x:f>
      </x:c>
      <x:c r="I123" s="2" t="n">
        <x:f>COUNTIFS('Grades'!$B$6:$B$1157,A123,'Grades'!$C$6:$C$1157,B123,'Grades'!$D$6:$D$1157,C123,'Grades'!$K$6:$K$1157,"BLOCKED")</x:f>
        <x:v>0</x:v>
      </x:c>
    </x:row>
    <x:row r="124" ht="24" customHeight="1">
      <x:c r="A124" s="2" t="str">
        <x:v>S11</x:v>
      </x:c>
      <x:c r="B124" s="2" t="str">
        <x:v>qwen_connected</x:v>
      </x:c>
      <x:c r="C124" s="2" t="n">
        <x:v>1</x:v>
      </x:c>
      <x:c r="D124" s="2" t="n">
        <x:f>SUMIFS('Grades'!$M$6:$M$1157,'Grades'!$B$6:$B$1157,A124,'Grades'!$C$6:$C$1157,B124,'Grades'!$D$6:$D$1157,C124)</x:f>
        <x:v>0</x:v>
      </x:c>
      <x:c r="E124" s="2" t="str">
        <x:f>IF(D124=8,SUMIFS('Grades'!$K$6:$K$1157,'Grades'!$B$6:$B$1157,A124,'Grades'!$C$6:$C$1157,B124,'Grades'!$D$6:$D$1157,C124),"")</x:f>
      </x:c>
      <x:c r="F124" s="11" t="str">
        <x:f>IF(ISNUMBER(E124),E124/8,"")</x:f>
      </x:c>
      <x:c r="G124" s="2" t="str">
        <x:f>IF(D124=8,SUMIFS('Grades'!$L$6:$L$1157,'Grades'!$B$6:$B$1157,A124,'Grades'!$C$6:$C$1157,B124,'Grades'!$D$6:$D$1157,C124),"")</x:f>
      </x:c>
      <x:c r="H124" s="11" t="str">
        <x:f>IF(ISNUMBER(G124),G124/8,"")</x:f>
      </x:c>
      <x:c r="I124" s="2" t="n">
        <x:f>COUNTIFS('Grades'!$B$6:$B$1157,A124,'Grades'!$C$6:$C$1157,B124,'Grades'!$D$6:$D$1157,C124,'Grades'!$K$6:$K$1157,"BLOCKED")</x:f>
        <x:v>0</x:v>
      </x:c>
    </x:row>
    <x:row r="125" ht="24" customHeight="1">
      <x:c r="A125" s="2" t="str">
        <x:v>S12</x:v>
      </x:c>
      <x:c r="B125" s="2" t="str">
        <x:v>qwen_connected</x:v>
      </x:c>
      <x:c r="C125" s="2" t="n">
        <x:v>1</x:v>
      </x:c>
      <x:c r="D125" s="2" t="n">
        <x:f>SUMIFS('Grades'!$M$6:$M$1157,'Grades'!$B$6:$B$1157,A125,'Grades'!$C$6:$C$1157,B125,'Grades'!$D$6:$D$1157,C125)</x:f>
        <x:v>0</x:v>
      </x:c>
      <x:c r="E125" s="2" t="str">
        <x:f>IF(D125=8,SUMIFS('Grades'!$K$6:$K$1157,'Grades'!$B$6:$B$1157,A125,'Grades'!$C$6:$C$1157,B125,'Grades'!$D$6:$D$1157,C125),"")</x:f>
      </x:c>
      <x:c r="F125" s="11" t="str">
        <x:f>IF(ISNUMBER(E125),E125/8,"")</x:f>
      </x:c>
      <x:c r="G125" s="2" t="str">
        <x:f>IF(D125=8,SUMIFS('Grades'!$L$6:$L$1157,'Grades'!$B$6:$B$1157,A125,'Grades'!$C$6:$C$1157,B125,'Grades'!$D$6:$D$1157,C125),"")</x:f>
      </x:c>
      <x:c r="H125" s="11" t="str">
        <x:f>IF(ISNUMBER(G125),G125/8,"")</x:f>
      </x:c>
      <x:c r="I125" s="2" t="n">
        <x:f>COUNTIFS('Grades'!$B$6:$B$1157,A125,'Grades'!$C$6:$C$1157,B125,'Grades'!$D$6:$D$1157,C125,'Grades'!$K$6:$K$1157,"BLOCKED")</x:f>
        <x:v>0</x:v>
      </x:c>
    </x:row>
    <x:row r="126" ht="24" customHeight="1">
      <x:c r="A126" s="2" t="str">
        <x:v>S01</x:v>
      </x:c>
      <x:c r="B126" s="2" t="str">
        <x:v>qwen_connected</x:v>
      </x:c>
      <x:c r="C126" s="2" t="n">
        <x:v>2</x:v>
      </x:c>
      <x:c r="D126" s="2" t="n">
        <x:f>SUMIFS('Grades'!$M$6:$M$1157,'Grades'!$B$6:$B$1157,A126,'Grades'!$C$6:$C$1157,B126,'Grades'!$D$6:$D$1157,C126)</x:f>
        <x:v>0</x:v>
      </x:c>
      <x:c r="E126" s="2" t="str">
        <x:f>IF(D126=8,SUMIFS('Grades'!$K$6:$K$1157,'Grades'!$B$6:$B$1157,A126,'Grades'!$C$6:$C$1157,B126,'Grades'!$D$6:$D$1157,C126),"")</x:f>
      </x:c>
      <x:c r="F126" s="11" t="str">
        <x:f>IF(ISNUMBER(E126),E126/8,"")</x:f>
      </x:c>
      <x:c r="G126" s="2" t="str">
        <x:f>IF(D126=8,SUMIFS('Grades'!$L$6:$L$1157,'Grades'!$B$6:$B$1157,A126,'Grades'!$C$6:$C$1157,B126,'Grades'!$D$6:$D$1157,C126),"")</x:f>
      </x:c>
      <x:c r="H126" s="11" t="str">
        <x:f>IF(ISNUMBER(G126),G126/8,"")</x:f>
      </x:c>
      <x:c r="I126" s="2" t="n">
        <x:f>COUNTIFS('Grades'!$B$6:$B$1157,A126,'Grades'!$C$6:$C$1157,B126,'Grades'!$D$6:$D$1157,C126,'Grades'!$K$6:$K$1157,"BLOCKED")</x:f>
        <x:v>0</x:v>
      </x:c>
    </x:row>
    <x:row r="127" ht="24" customHeight="1">
      <x:c r="A127" s="2" t="str">
        <x:v>S02</x:v>
      </x:c>
      <x:c r="B127" s="2" t="str">
        <x:v>qwen_connected</x:v>
      </x:c>
      <x:c r="C127" s="2" t="n">
        <x:v>2</x:v>
      </x:c>
      <x:c r="D127" s="2" t="n">
        <x:f>SUMIFS('Grades'!$M$6:$M$1157,'Grades'!$B$6:$B$1157,A127,'Grades'!$C$6:$C$1157,B127,'Grades'!$D$6:$D$1157,C127)</x:f>
        <x:v>0</x:v>
      </x:c>
      <x:c r="E127" s="2" t="str">
        <x:f>IF(D127=8,SUMIFS('Grades'!$K$6:$K$1157,'Grades'!$B$6:$B$1157,A127,'Grades'!$C$6:$C$1157,B127,'Grades'!$D$6:$D$1157,C127),"")</x:f>
      </x:c>
      <x:c r="F127" s="11" t="str">
        <x:f>IF(ISNUMBER(E127),E127/8,"")</x:f>
      </x:c>
      <x:c r="G127" s="2" t="str">
        <x:f>IF(D127=8,SUMIFS('Grades'!$L$6:$L$1157,'Grades'!$B$6:$B$1157,A127,'Grades'!$C$6:$C$1157,B127,'Grades'!$D$6:$D$1157,C127),"")</x:f>
      </x:c>
      <x:c r="H127" s="11" t="str">
        <x:f>IF(ISNUMBER(G127),G127/8,"")</x:f>
      </x:c>
      <x:c r="I127" s="2" t="n">
        <x:f>COUNTIFS('Grades'!$B$6:$B$1157,A127,'Grades'!$C$6:$C$1157,B127,'Grades'!$D$6:$D$1157,C127,'Grades'!$K$6:$K$1157,"BLOCKED")</x:f>
        <x:v>0</x:v>
      </x:c>
    </x:row>
    <x:row r="128" ht="24" customHeight="1">
      <x:c r="A128" s="2" t="str">
        <x:v>S03</x:v>
      </x:c>
      <x:c r="B128" s="2" t="str">
        <x:v>qwen_connected</x:v>
      </x:c>
      <x:c r="C128" s="2" t="n">
        <x:v>2</x:v>
      </x:c>
      <x:c r="D128" s="2" t="n">
        <x:f>SUMIFS('Grades'!$M$6:$M$1157,'Grades'!$B$6:$B$1157,A128,'Grades'!$C$6:$C$1157,B128,'Grades'!$D$6:$D$1157,C128)</x:f>
        <x:v>0</x:v>
      </x:c>
      <x:c r="E128" s="2" t="str">
        <x:f>IF(D128=8,SUMIFS('Grades'!$K$6:$K$1157,'Grades'!$B$6:$B$1157,A128,'Grades'!$C$6:$C$1157,B128,'Grades'!$D$6:$D$1157,C128),"")</x:f>
      </x:c>
      <x:c r="F128" s="11" t="str">
        <x:f>IF(ISNUMBER(E128),E128/8,"")</x:f>
      </x:c>
      <x:c r="G128" s="2" t="str">
        <x:f>IF(D128=8,SUMIFS('Grades'!$L$6:$L$1157,'Grades'!$B$6:$B$1157,A128,'Grades'!$C$6:$C$1157,B128,'Grades'!$D$6:$D$1157,C128),"")</x:f>
      </x:c>
      <x:c r="H128" s="11" t="str">
        <x:f>IF(ISNUMBER(G128),G128/8,"")</x:f>
      </x:c>
      <x:c r="I128" s="2" t="n">
        <x:f>COUNTIFS('Grades'!$B$6:$B$1157,A128,'Grades'!$C$6:$C$1157,B128,'Grades'!$D$6:$D$1157,C128,'Grades'!$K$6:$K$1157,"BLOCKED")</x:f>
        <x:v>0</x:v>
      </x:c>
    </x:row>
    <x:row r="129" ht="24" customHeight="1">
      <x:c r="A129" s="2" t="str">
        <x:v>S04</x:v>
      </x:c>
      <x:c r="B129" s="2" t="str">
        <x:v>qwen_connected</x:v>
      </x:c>
      <x:c r="C129" s="2" t="n">
        <x:v>2</x:v>
      </x:c>
      <x:c r="D129" s="2" t="n">
        <x:f>SUMIFS('Grades'!$M$6:$M$1157,'Grades'!$B$6:$B$1157,A129,'Grades'!$C$6:$C$1157,B129,'Grades'!$D$6:$D$1157,C129)</x:f>
        <x:v>0</x:v>
      </x:c>
      <x:c r="E129" s="2" t="str">
        <x:f>IF(D129=8,SUMIFS('Grades'!$K$6:$K$1157,'Grades'!$B$6:$B$1157,A129,'Grades'!$C$6:$C$1157,B129,'Grades'!$D$6:$D$1157,C129),"")</x:f>
      </x:c>
      <x:c r="F129" s="11" t="str">
        <x:f>IF(ISNUMBER(E129),E129/8,"")</x:f>
      </x:c>
      <x:c r="G129" s="2" t="str">
        <x:f>IF(D129=8,SUMIFS('Grades'!$L$6:$L$1157,'Grades'!$B$6:$B$1157,A129,'Grades'!$C$6:$C$1157,B129,'Grades'!$D$6:$D$1157,C129),"")</x:f>
      </x:c>
      <x:c r="H129" s="11" t="str">
        <x:f>IF(ISNUMBER(G129),G129/8,"")</x:f>
      </x:c>
      <x:c r="I129" s="2" t="n">
        <x:f>COUNTIFS('Grades'!$B$6:$B$1157,A129,'Grades'!$C$6:$C$1157,B129,'Grades'!$D$6:$D$1157,C129,'Grades'!$K$6:$K$1157,"BLOCKED")</x:f>
        <x:v>0</x:v>
      </x:c>
    </x:row>
    <x:row r="130" ht="24" customHeight="1">
      <x:c r="A130" s="2" t="str">
        <x:v>S05</x:v>
      </x:c>
      <x:c r="B130" s="2" t="str">
        <x:v>qwen_connected</x:v>
      </x:c>
      <x:c r="C130" s="2" t="n">
        <x:v>2</x:v>
      </x:c>
      <x:c r="D130" s="2" t="n">
        <x:f>SUMIFS('Grades'!$M$6:$M$1157,'Grades'!$B$6:$B$1157,A130,'Grades'!$C$6:$C$1157,B130,'Grades'!$D$6:$D$1157,C130)</x:f>
        <x:v>0</x:v>
      </x:c>
      <x:c r="E130" s="2" t="str">
        <x:f>IF(D130=8,SUMIFS('Grades'!$K$6:$K$1157,'Grades'!$B$6:$B$1157,A130,'Grades'!$C$6:$C$1157,B130,'Grades'!$D$6:$D$1157,C130),"")</x:f>
      </x:c>
      <x:c r="F130" s="11" t="str">
        <x:f>IF(ISNUMBER(E130),E130/8,"")</x:f>
      </x:c>
      <x:c r="G130" s="2" t="str">
        <x:f>IF(D130=8,SUMIFS('Grades'!$L$6:$L$1157,'Grades'!$B$6:$B$1157,A130,'Grades'!$C$6:$C$1157,B130,'Grades'!$D$6:$D$1157,C130),"")</x:f>
      </x:c>
      <x:c r="H130" s="11" t="str">
        <x:f>IF(ISNUMBER(G130),G130/8,"")</x:f>
      </x:c>
      <x:c r="I130" s="2" t="n">
        <x:f>COUNTIFS('Grades'!$B$6:$B$1157,A130,'Grades'!$C$6:$C$1157,B130,'Grades'!$D$6:$D$1157,C130,'Grades'!$K$6:$K$1157,"BLOCKED")</x:f>
        <x:v>0</x:v>
      </x:c>
    </x:row>
    <x:row r="131" ht="24" customHeight="1">
      <x:c r="A131" s="2" t="str">
        <x:v>S06</x:v>
      </x:c>
      <x:c r="B131" s="2" t="str">
        <x:v>qwen_connected</x:v>
      </x:c>
      <x:c r="C131" s="2" t="n">
        <x:v>2</x:v>
      </x:c>
      <x:c r="D131" s="2" t="n">
        <x:f>SUMIFS('Grades'!$M$6:$M$1157,'Grades'!$B$6:$B$1157,A131,'Grades'!$C$6:$C$1157,B131,'Grades'!$D$6:$D$1157,C131)</x:f>
        <x:v>0</x:v>
      </x:c>
      <x:c r="E131" s="2" t="str">
        <x:f>IF(D131=8,SUMIFS('Grades'!$K$6:$K$1157,'Grades'!$B$6:$B$1157,A131,'Grades'!$C$6:$C$1157,B131,'Grades'!$D$6:$D$1157,C131),"")</x:f>
      </x:c>
      <x:c r="F131" s="11" t="str">
        <x:f>IF(ISNUMBER(E131),E131/8,"")</x:f>
      </x:c>
      <x:c r="G131" s="2" t="str">
        <x:f>IF(D131=8,SUMIFS('Grades'!$L$6:$L$1157,'Grades'!$B$6:$B$1157,A131,'Grades'!$C$6:$C$1157,B131,'Grades'!$D$6:$D$1157,C131),"")</x:f>
      </x:c>
      <x:c r="H131" s="11" t="str">
        <x:f>IF(ISNUMBER(G131),G131/8,"")</x:f>
      </x:c>
      <x:c r="I131" s="2" t="n">
        <x:f>COUNTIFS('Grades'!$B$6:$B$1157,A131,'Grades'!$C$6:$C$1157,B131,'Grades'!$D$6:$D$1157,C131,'Grades'!$K$6:$K$1157,"BLOCKED")</x:f>
        <x:v>0</x:v>
      </x:c>
    </x:row>
    <x:row r="132" ht="24" customHeight="1">
      <x:c r="A132" s="2" t="str">
        <x:v>S07</x:v>
      </x:c>
      <x:c r="B132" s="2" t="str">
        <x:v>qwen_connected</x:v>
      </x:c>
      <x:c r="C132" s="2" t="n">
        <x:v>2</x:v>
      </x:c>
      <x:c r="D132" s="2" t="n">
        <x:f>SUMIFS('Grades'!$M$6:$M$1157,'Grades'!$B$6:$B$1157,A132,'Grades'!$C$6:$C$1157,B132,'Grades'!$D$6:$D$1157,C132)</x:f>
        <x:v>0</x:v>
      </x:c>
      <x:c r="E132" s="2" t="str">
        <x:f>IF(D132=8,SUMIFS('Grades'!$K$6:$K$1157,'Grades'!$B$6:$B$1157,A132,'Grades'!$C$6:$C$1157,B132,'Grades'!$D$6:$D$1157,C132),"")</x:f>
      </x:c>
      <x:c r="F132" s="11" t="str">
        <x:f>IF(ISNUMBER(E132),E132/8,"")</x:f>
      </x:c>
      <x:c r="G132" s="2" t="str">
        <x:f>IF(D132=8,SUMIFS('Grades'!$L$6:$L$1157,'Grades'!$B$6:$B$1157,A132,'Grades'!$C$6:$C$1157,B132,'Grades'!$D$6:$D$1157,C132),"")</x:f>
      </x:c>
      <x:c r="H132" s="11" t="str">
        <x:f>IF(ISNUMBER(G132),G132/8,"")</x:f>
      </x:c>
      <x:c r="I132" s="2" t="n">
        <x:f>COUNTIFS('Grades'!$B$6:$B$1157,A132,'Grades'!$C$6:$C$1157,B132,'Grades'!$D$6:$D$1157,C132,'Grades'!$K$6:$K$1157,"BLOCKED")</x:f>
        <x:v>0</x:v>
      </x:c>
    </x:row>
    <x:row r="133" ht="24" customHeight="1">
      <x:c r="A133" s="2" t="str">
        <x:v>S08</x:v>
      </x:c>
      <x:c r="B133" s="2" t="str">
        <x:v>qwen_connected</x:v>
      </x:c>
      <x:c r="C133" s="2" t="n">
        <x:v>2</x:v>
      </x:c>
      <x:c r="D133" s="2" t="n">
        <x:f>SUMIFS('Grades'!$M$6:$M$1157,'Grades'!$B$6:$B$1157,A133,'Grades'!$C$6:$C$1157,B133,'Grades'!$D$6:$D$1157,C133)</x:f>
        <x:v>0</x:v>
      </x:c>
      <x:c r="E133" s="2" t="str">
        <x:f>IF(D133=8,SUMIFS('Grades'!$K$6:$K$1157,'Grades'!$B$6:$B$1157,A133,'Grades'!$C$6:$C$1157,B133,'Grades'!$D$6:$D$1157,C133),"")</x:f>
      </x:c>
      <x:c r="F133" s="11" t="str">
        <x:f>IF(ISNUMBER(E133),E133/8,"")</x:f>
      </x:c>
      <x:c r="G133" s="2" t="str">
        <x:f>IF(D133=8,SUMIFS('Grades'!$L$6:$L$1157,'Grades'!$B$6:$B$1157,A133,'Grades'!$C$6:$C$1157,B133,'Grades'!$D$6:$D$1157,C133),"")</x:f>
      </x:c>
      <x:c r="H133" s="11" t="str">
        <x:f>IF(ISNUMBER(G133),G133/8,"")</x:f>
      </x:c>
      <x:c r="I133" s="2" t="n">
        <x:f>COUNTIFS('Grades'!$B$6:$B$1157,A133,'Grades'!$C$6:$C$1157,B133,'Grades'!$D$6:$D$1157,C133,'Grades'!$K$6:$K$1157,"BLOCKED")</x:f>
        <x:v>0</x:v>
      </x:c>
    </x:row>
    <x:row r="134" ht="24" customHeight="1">
      <x:c r="A134" s="2" t="str">
        <x:v>S09</x:v>
      </x:c>
      <x:c r="B134" s="2" t="str">
        <x:v>qwen_connected</x:v>
      </x:c>
      <x:c r="C134" s="2" t="n">
        <x:v>2</x:v>
      </x:c>
      <x:c r="D134" s="2" t="n">
        <x:f>SUMIFS('Grades'!$M$6:$M$1157,'Grades'!$B$6:$B$1157,A134,'Grades'!$C$6:$C$1157,B134,'Grades'!$D$6:$D$1157,C134)</x:f>
        <x:v>0</x:v>
      </x:c>
      <x:c r="E134" s="2" t="str">
        <x:f>IF(D134=8,SUMIFS('Grades'!$K$6:$K$1157,'Grades'!$B$6:$B$1157,A134,'Grades'!$C$6:$C$1157,B134,'Grades'!$D$6:$D$1157,C134),"")</x:f>
      </x:c>
      <x:c r="F134" s="11" t="str">
        <x:f>IF(ISNUMBER(E134),E134/8,"")</x:f>
      </x:c>
      <x:c r="G134" s="2" t="str">
        <x:f>IF(D134=8,SUMIFS('Grades'!$L$6:$L$1157,'Grades'!$B$6:$B$1157,A134,'Grades'!$C$6:$C$1157,B134,'Grades'!$D$6:$D$1157,C134),"")</x:f>
      </x:c>
      <x:c r="H134" s="11" t="str">
        <x:f>IF(ISNUMBER(G134),G134/8,"")</x:f>
      </x:c>
      <x:c r="I134" s="2" t="n">
        <x:f>COUNTIFS('Grades'!$B$6:$B$1157,A134,'Grades'!$C$6:$C$1157,B134,'Grades'!$D$6:$D$1157,C134,'Grades'!$K$6:$K$1157,"BLOCKED")</x:f>
        <x:v>0</x:v>
      </x:c>
    </x:row>
    <x:row r="135" ht="24" customHeight="1">
      <x:c r="A135" s="2" t="str">
        <x:v>S10</x:v>
      </x:c>
      <x:c r="B135" s="2" t="str">
        <x:v>qwen_connected</x:v>
      </x:c>
      <x:c r="C135" s="2" t="n">
        <x:v>2</x:v>
      </x:c>
      <x:c r="D135" s="2" t="n">
        <x:f>SUMIFS('Grades'!$M$6:$M$1157,'Grades'!$B$6:$B$1157,A135,'Grades'!$C$6:$C$1157,B135,'Grades'!$D$6:$D$1157,C135)</x:f>
        <x:v>0</x:v>
      </x:c>
      <x:c r="E135" s="2" t="str">
        <x:f>IF(D135=8,SUMIFS('Grades'!$K$6:$K$1157,'Grades'!$B$6:$B$1157,A135,'Grades'!$C$6:$C$1157,B135,'Grades'!$D$6:$D$1157,C135),"")</x:f>
      </x:c>
      <x:c r="F135" s="11" t="str">
        <x:f>IF(ISNUMBER(E135),E135/8,"")</x:f>
      </x:c>
      <x:c r="G135" s="2" t="str">
        <x:f>IF(D135=8,SUMIFS('Grades'!$L$6:$L$1157,'Grades'!$B$6:$B$1157,A135,'Grades'!$C$6:$C$1157,B135,'Grades'!$D$6:$D$1157,C135),"")</x:f>
      </x:c>
      <x:c r="H135" s="11" t="str">
        <x:f>IF(ISNUMBER(G135),G135/8,"")</x:f>
      </x:c>
      <x:c r="I135" s="2" t="n">
        <x:f>COUNTIFS('Grades'!$B$6:$B$1157,A135,'Grades'!$C$6:$C$1157,B135,'Grades'!$D$6:$D$1157,C135,'Grades'!$K$6:$K$1157,"BLOCKED")</x:f>
        <x:v>0</x:v>
      </x:c>
    </x:row>
    <x:row r="136" ht="24" customHeight="1">
      <x:c r="A136" s="2" t="str">
        <x:v>S11</x:v>
      </x:c>
      <x:c r="B136" s="2" t="str">
        <x:v>qwen_connected</x:v>
      </x:c>
      <x:c r="C136" s="2" t="n">
        <x:v>2</x:v>
      </x:c>
      <x:c r="D136" s="2" t="n">
        <x:f>SUMIFS('Grades'!$M$6:$M$1157,'Grades'!$B$6:$B$1157,A136,'Grades'!$C$6:$C$1157,B136,'Grades'!$D$6:$D$1157,C136)</x:f>
        <x:v>0</x:v>
      </x:c>
      <x:c r="E136" s="2" t="str">
        <x:f>IF(D136=8,SUMIFS('Grades'!$K$6:$K$1157,'Grades'!$B$6:$B$1157,A136,'Grades'!$C$6:$C$1157,B136,'Grades'!$D$6:$D$1157,C136),"")</x:f>
      </x:c>
      <x:c r="F136" s="11" t="str">
        <x:f>IF(ISNUMBER(E136),E136/8,"")</x:f>
      </x:c>
      <x:c r="G136" s="2" t="str">
        <x:f>IF(D136=8,SUMIFS('Grades'!$L$6:$L$1157,'Grades'!$B$6:$B$1157,A136,'Grades'!$C$6:$C$1157,B136,'Grades'!$D$6:$D$1157,C136),"")</x:f>
      </x:c>
      <x:c r="H136" s="11" t="str">
        <x:f>IF(ISNUMBER(G136),G136/8,"")</x:f>
      </x:c>
      <x:c r="I136" s="2" t="n">
        <x:f>COUNTIFS('Grades'!$B$6:$B$1157,A136,'Grades'!$C$6:$C$1157,B136,'Grades'!$D$6:$D$1157,C136,'Grades'!$K$6:$K$1157,"BLOCKED")</x:f>
        <x:v>0</x:v>
      </x:c>
    </x:row>
    <x:row r="137" ht="24" customHeight="1">
      <x:c r="A137" s="2" t="str">
        <x:v>S12</x:v>
      </x:c>
      <x:c r="B137" s="2" t="str">
        <x:v>qwen_connected</x:v>
      </x:c>
      <x:c r="C137" s="2" t="n">
        <x:v>2</x:v>
      </x:c>
      <x:c r="D137" s="2" t="n">
        <x:f>SUMIFS('Grades'!$M$6:$M$1157,'Grades'!$B$6:$B$1157,A137,'Grades'!$C$6:$C$1157,B137,'Grades'!$D$6:$D$1157,C137)</x:f>
        <x:v>0</x:v>
      </x:c>
      <x:c r="E137" s="2" t="str">
        <x:f>IF(D137=8,SUMIFS('Grades'!$K$6:$K$1157,'Grades'!$B$6:$B$1157,A137,'Grades'!$C$6:$C$1157,B137,'Grades'!$D$6:$D$1157,C137),"")</x:f>
      </x:c>
      <x:c r="F137" s="11" t="str">
        <x:f>IF(ISNUMBER(E137),E137/8,"")</x:f>
      </x:c>
      <x:c r="G137" s="2" t="str">
        <x:f>IF(D137=8,SUMIFS('Grades'!$L$6:$L$1157,'Grades'!$B$6:$B$1157,A137,'Grades'!$C$6:$C$1157,B137,'Grades'!$D$6:$D$1157,C137),"")</x:f>
      </x:c>
      <x:c r="H137" s="11" t="str">
        <x:f>IF(ISNUMBER(G137),G137/8,"")</x:f>
      </x:c>
      <x:c r="I137" s="2" t="n">
        <x:f>COUNTIFS('Grades'!$B$6:$B$1157,A137,'Grades'!$C$6:$C$1157,B137,'Grades'!$D$6:$D$1157,C137,'Grades'!$K$6:$K$1157,"BLOCKED")</x:f>
        <x:v>0</x:v>
      </x:c>
    </x:row>
    <x:row r="138" ht="24" customHeight="1">
      <x:c r="A138" s="2" t="str">
        <x:v>S01</x:v>
      </x:c>
      <x:c r="B138" s="2" t="str">
        <x:v>qwen_connected</x:v>
      </x:c>
      <x:c r="C138" s="2" t="n">
        <x:v>3</x:v>
      </x:c>
      <x:c r="D138" s="2" t="n">
        <x:f>SUMIFS('Grades'!$M$6:$M$1157,'Grades'!$B$6:$B$1157,A138,'Grades'!$C$6:$C$1157,B138,'Grades'!$D$6:$D$1157,C138)</x:f>
        <x:v>0</x:v>
      </x:c>
      <x:c r="E138" s="2" t="str">
        <x:f>IF(D138=8,SUMIFS('Grades'!$K$6:$K$1157,'Grades'!$B$6:$B$1157,A138,'Grades'!$C$6:$C$1157,B138,'Grades'!$D$6:$D$1157,C138),"")</x:f>
      </x:c>
      <x:c r="F138" s="11" t="str">
        <x:f>IF(ISNUMBER(E138),E138/8,"")</x:f>
      </x:c>
      <x:c r="G138" s="2" t="str">
        <x:f>IF(D138=8,SUMIFS('Grades'!$L$6:$L$1157,'Grades'!$B$6:$B$1157,A138,'Grades'!$C$6:$C$1157,B138,'Grades'!$D$6:$D$1157,C138),"")</x:f>
      </x:c>
      <x:c r="H138" s="11" t="str">
        <x:f>IF(ISNUMBER(G138),G138/8,"")</x:f>
      </x:c>
      <x:c r="I138" s="2" t="n">
        <x:f>COUNTIFS('Grades'!$B$6:$B$1157,A138,'Grades'!$C$6:$C$1157,B138,'Grades'!$D$6:$D$1157,C138,'Grades'!$K$6:$K$1157,"BLOCKED")</x:f>
        <x:v>0</x:v>
      </x:c>
    </x:row>
    <x:row r="139" ht="24" customHeight="1">
      <x:c r="A139" s="2" t="str">
        <x:v>S02</x:v>
      </x:c>
      <x:c r="B139" s="2" t="str">
        <x:v>qwen_connected</x:v>
      </x:c>
      <x:c r="C139" s="2" t="n">
        <x:v>3</x:v>
      </x:c>
      <x:c r="D139" s="2" t="n">
        <x:f>SUMIFS('Grades'!$M$6:$M$1157,'Grades'!$B$6:$B$1157,A139,'Grades'!$C$6:$C$1157,B139,'Grades'!$D$6:$D$1157,C139)</x:f>
        <x:v>0</x:v>
      </x:c>
      <x:c r="E139" s="2" t="str">
        <x:f>IF(D139=8,SUMIFS('Grades'!$K$6:$K$1157,'Grades'!$B$6:$B$1157,A139,'Grades'!$C$6:$C$1157,B139,'Grades'!$D$6:$D$1157,C139),"")</x:f>
      </x:c>
      <x:c r="F139" s="11" t="str">
        <x:f>IF(ISNUMBER(E139),E139/8,"")</x:f>
      </x:c>
      <x:c r="G139" s="2" t="str">
        <x:f>IF(D139=8,SUMIFS('Grades'!$L$6:$L$1157,'Grades'!$B$6:$B$1157,A139,'Grades'!$C$6:$C$1157,B139,'Grades'!$D$6:$D$1157,C139),"")</x:f>
      </x:c>
      <x:c r="H139" s="11" t="str">
        <x:f>IF(ISNUMBER(G139),G139/8,"")</x:f>
      </x:c>
      <x:c r="I139" s="2" t="n">
        <x:f>COUNTIFS('Grades'!$B$6:$B$1157,A139,'Grades'!$C$6:$C$1157,B139,'Grades'!$D$6:$D$1157,C139,'Grades'!$K$6:$K$1157,"BLOCKED")</x:f>
        <x:v>0</x:v>
      </x:c>
    </x:row>
    <x:row r="140" ht="24" customHeight="1">
      <x:c r="A140" s="2" t="str">
        <x:v>S03</x:v>
      </x:c>
      <x:c r="B140" s="2" t="str">
        <x:v>qwen_connected</x:v>
      </x:c>
      <x:c r="C140" s="2" t="n">
        <x:v>3</x:v>
      </x:c>
      <x:c r="D140" s="2" t="n">
        <x:f>SUMIFS('Grades'!$M$6:$M$1157,'Grades'!$B$6:$B$1157,A140,'Grades'!$C$6:$C$1157,B140,'Grades'!$D$6:$D$1157,C140)</x:f>
        <x:v>0</x:v>
      </x:c>
      <x:c r="E140" s="2" t="str">
        <x:f>IF(D140=8,SUMIFS('Grades'!$K$6:$K$1157,'Grades'!$B$6:$B$1157,A140,'Grades'!$C$6:$C$1157,B140,'Grades'!$D$6:$D$1157,C140),"")</x:f>
      </x:c>
      <x:c r="F140" s="11" t="str">
        <x:f>IF(ISNUMBER(E140),E140/8,"")</x:f>
      </x:c>
      <x:c r="G140" s="2" t="str">
        <x:f>IF(D140=8,SUMIFS('Grades'!$L$6:$L$1157,'Grades'!$B$6:$B$1157,A140,'Grades'!$C$6:$C$1157,B140,'Grades'!$D$6:$D$1157,C140),"")</x:f>
      </x:c>
      <x:c r="H140" s="11" t="str">
        <x:f>IF(ISNUMBER(G140),G140/8,"")</x:f>
      </x:c>
      <x:c r="I140" s="2" t="n">
        <x:f>COUNTIFS('Grades'!$B$6:$B$1157,A140,'Grades'!$C$6:$C$1157,B140,'Grades'!$D$6:$D$1157,C140,'Grades'!$K$6:$K$1157,"BLOCKED")</x:f>
        <x:v>0</x:v>
      </x:c>
    </x:row>
    <x:row r="141" ht="24" customHeight="1">
      <x:c r="A141" s="2" t="str">
        <x:v>S04</x:v>
      </x:c>
      <x:c r="B141" s="2" t="str">
        <x:v>qwen_connected</x:v>
      </x:c>
      <x:c r="C141" s="2" t="n">
        <x:v>3</x:v>
      </x:c>
      <x:c r="D141" s="2" t="n">
        <x:f>SUMIFS('Grades'!$M$6:$M$1157,'Grades'!$B$6:$B$1157,A141,'Grades'!$C$6:$C$1157,B141,'Grades'!$D$6:$D$1157,C141)</x:f>
        <x:v>0</x:v>
      </x:c>
      <x:c r="E141" s="2" t="str">
        <x:f>IF(D141=8,SUMIFS('Grades'!$K$6:$K$1157,'Grades'!$B$6:$B$1157,A141,'Grades'!$C$6:$C$1157,B141,'Grades'!$D$6:$D$1157,C141),"")</x:f>
      </x:c>
      <x:c r="F141" s="11" t="str">
        <x:f>IF(ISNUMBER(E141),E141/8,"")</x:f>
      </x:c>
      <x:c r="G141" s="2" t="str">
        <x:f>IF(D141=8,SUMIFS('Grades'!$L$6:$L$1157,'Grades'!$B$6:$B$1157,A141,'Grades'!$C$6:$C$1157,B141,'Grades'!$D$6:$D$1157,C141),"")</x:f>
      </x:c>
      <x:c r="H141" s="11" t="str">
        <x:f>IF(ISNUMBER(G141),G141/8,"")</x:f>
      </x:c>
      <x:c r="I141" s="2" t="n">
        <x:f>COUNTIFS('Grades'!$B$6:$B$1157,A141,'Grades'!$C$6:$C$1157,B141,'Grades'!$D$6:$D$1157,C141,'Grades'!$K$6:$K$1157,"BLOCKED")</x:f>
        <x:v>0</x:v>
      </x:c>
    </x:row>
    <x:row r="142" ht="24" customHeight="1">
      <x:c r="A142" s="2" t="str">
        <x:v>S05</x:v>
      </x:c>
      <x:c r="B142" s="2" t="str">
        <x:v>qwen_connected</x:v>
      </x:c>
      <x:c r="C142" s="2" t="n">
        <x:v>3</x:v>
      </x:c>
      <x:c r="D142" s="2" t="n">
        <x:f>SUMIFS('Grades'!$M$6:$M$1157,'Grades'!$B$6:$B$1157,A142,'Grades'!$C$6:$C$1157,B142,'Grades'!$D$6:$D$1157,C142)</x:f>
        <x:v>0</x:v>
      </x:c>
      <x:c r="E142" s="2" t="str">
        <x:f>IF(D142=8,SUMIFS('Grades'!$K$6:$K$1157,'Grades'!$B$6:$B$1157,A142,'Grades'!$C$6:$C$1157,B142,'Grades'!$D$6:$D$1157,C142),"")</x:f>
      </x:c>
      <x:c r="F142" s="11" t="str">
        <x:f>IF(ISNUMBER(E142),E142/8,"")</x:f>
      </x:c>
      <x:c r="G142" s="2" t="str">
        <x:f>IF(D142=8,SUMIFS('Grades'!$L$6:$L$1157,'Grades'!$B$6:$B$1157,A142,'Grades'!$C$6:$C$1157,B142,'Grades'!$D$6:$D$1157,C142),"")</x:f>
      </x:c>
      <x:c r="H142" s="11" t="str">
        <x:f>IF(ISNUMBER(G142),G142/8,"")</x:f>
      </x:c>
      <x:c r="I142" s="2" t="n">
        <x:f>COUNTIFS('Grades'!$B$6:$B$1157,A142,'Grades'!$C$6:$C$1157,B142,'Grades'!$D$6:$D$1157,C142,'Grades'!$K$6:$K$1157,"BLOCKED")</x:f>
        <x:v>0</x:v>
      </x:c>
    </x:row>
    <x:row r="143" ht="24" customHeight="1">
      <x:c r="A143" s="2" t="str">
        <x:v>S06</x:v>
      </x:c>
      <x:c r="B143" s="2" t="str">
        <x:v>qwen_connected</x:v>
      </x:c>
      <x:c r="C143" s="2" t="n">
        <x:v>3</x:v>
      </x:c>
      <x:c r="D143" s="2" t="n">
        <x:f>SUMIFS('Grades'!$M$6:$M$1157,'Grades'!$B$6:$B$1157,A143,'Grades'!$C$6:$C$1157,B143,'Grades'!$D$6:$D$1157,C143)</x:f>
        <x:v>0</x:v>
      </x:c>
      <x:c r="E143" s="2" t="str">
        <x:f>IF(D143=8,SUMIFS('Grades'!$K$6:$K$1157,'Grades'!$B$6:$B$1157,A143,'Grades'!$C$6:$C$1157,B143,'Grades'!$D$6:$D$1157,C143),"")</x:f>
      </x:c>
      <x:c r="F143" s="11" t="str">
        <x:f>IF(ISNUMBER(E143),E143/8,"")</x:f>
      </x:c>
      <x:c r="G143" s="2" t="str">
        <x:f>IF(D143=8,SUMIFS('Grades'!$L$6:$L$1157,'Grades'!$B$6:$B$1157,A143,'Grades'!$C$6:$C$1157,B143,'Grades'!$D$6:$D$1157,C143),"")</x:f>
      </x:c>
      <x:c r="H143" s="11" t="str">
        <x:f>IF(ISNUMBER(G143),G143/8,"")</x:f>
      </x:c>
      <x:c r="I143" s="2" t="n">
        <x:f>COUNTIFS('Grades'!$B$6:$B$1157,A143,'Grades'!$C$6:$C$1157,B143,'Grades'!$D$6:$D$1157,C143,'Grades'!$K$6:$K$1157,"BLOCKED")</x:f>
        <x:v>0</x:v>
      </x:c>
    </x:row>
    <x:row r="144" ht="24" customHeight="1">
      <x:c r="A144" s="2" t="str">
        <x:v>S07</x:v>
      </x:c>
      <x:c r="B144" s="2" t="str">
        <x:v>qwen_connected</x:v>
      </x:c>
      <x:c r="C144" s="2" t="n">
        <x:v>3</x:v>
      </x:c>
      <x:c r="D144" s="2" t="n">
        <x:f>SUMIFS('Grades'!$M$6:$M$1157,'Grades'!$B$6:$B$1157,A144,'Grades'!$C$6:$C$1157,B144,'Grades'!$D$6:$D$1157,C144)</x:f>
        <x:v>0</x:v>
      </x:c>
      <x:c r="E144" s="2" t="str">
        <x:f>IF(D144=8,SUMIFS('Grades'!$K$6:$K$1157,'Grades'!$B$6:$B$1157,A144,'Grades'!$C$6:$C$1157,B144,'Grades'!$D$6:$D$1157,C144),"")</x:f>
      </x:c>
      <x:c r="F144" s="11" t="str">
        <x:f>IF(ISNUMBER(E144),E144/8,"")</x:f>
      </x:c>
      <x:c r="G144" s="2" t="str">
        <x:f>IF(D144=8,SUMIFS('Grades'!$L$6:$L$1157,'Grades'!$B$6:$B$1157,A144,'Grades'!$C$6:$C$1157,B144,'Grades'!$D$6:$D$1157,C144),"")</x:f>
      </x:c>
      <x:c r="H144" s="11" t="str">
        <x:f>IF(ISNUMBER(G144),G144/8,"")</x:f>
      </x:c>
      <x:c r="I144" s="2" t="n">
        <x:f>COUNTIFS('Grades'!$B$6:$B$1157,A144,'Grades'!$C$6:$C$1157,B144,'Grades'!$D$6:$D$1157,C144,'Grades'!$K$6:$K$1157,"BLOCKED")</x:f>
        <x:v>0</x:v>
      </x:c>
    </x:row>
    <x:row r="145" ht="24" customHeight="1">
      <x:c r="A145" s="2" t="str">
        <x:v>S08</x:v>
      </x:c>
      <x:c r="B145" s="2" t="str">
        <x:v>qwen_connected</x:v>
      </x:c>
      <x:c r="C145" s="2" t="n">
        <x:v>3</x:v>
      </x:c>
      <x:c r="D145" s="2" t="n">
        <x:f>SUMIFS('Grades'!$M$6:$M$1157,'Grades'!$B$6:$B$1157,A145,'Grades'!$C$6:$C$1157,B145,'Grades'!$D$6:$D$1157,C145)</x:f>
        <x:v>0</x:v>
      </x:c>
      <x:c r="E145" s="2" t="str">
        <x:f>IF(D145=8,SUMIFS('Grades'!$K$6:$K$1157,'Grades'!$B$6:$B$1157,A145,'Grades'!$C$6:$C$1157,B145,'Grades'!$D$6:$D$1157,C145),"")</x:f>
      </x:c>
      <x:c r="F145" s="11" t="str">
        <x:f>IF(ISNUMBER(E145),E145/8,"")</x:f>
      </x:c>
      <x:c r="G145" s="2" t="str">
        <x:f>IF(D145=8,SUMIFS('Grades'!$L$6:$L$1157,'Grades'!$B$6:$B$1157,A145,'Grades'!$C$6:$C$1157,B145,'Grades'!$D$6:$D$1157,C145),"")</x:f>
      </x:c>
      <x:c r="H145" s="11" t="str">
        <x:f>IF(ISNUMBER(G145),G145/8,"")</x:f>
      </x:c>
      <x:c r="I145" s="2" t="n">
        <x:f>COUNTIFS('Grades'!$B$6:$B$1157,A145,'Grades'!$C$6:$C$1157,B145,'Grades'!$D$6:$D$1157,C145,'Grades'!$K$6:$K$1157,"BLOCKED")</x:f>
        <x:v>0</x:v>
      </x:c>
    </x:row>
    <x:row r="146" ht="24" customHeight="1">
      <x:c r="A146" s="2" t="str">
        <x:v>S09</x:v>
      </x:c>
      <x:c r="B146" s="2" t="str">
        <x:v>qwen_connected</x:v>
      </x:c>
      <x:c r="C146" s="2" t="n">
        <x:v>3</x:v>
      </x:c>
      <x:c r="D146" s="2" t="n">
        <x:f>SUMIFS('Grades'!$M$6:$M$1157,'Grades'!$B$6:$B$1157,A146,'Grades'!$C$6:$C$1157,B146,'Grades'!$D$6:$D$1157,C146)</x:f>
        <x:v>0</x:v>
      </x:c>
      <x:c r="E146" s="2" t="str">
        <x:f>IF(D146=8,SUMIFS('Grades'!$K$6:$K$1157,'Grades'!$B$6:$B$1157,A146,'Grades'!$C$6:$C$1157,B146,'Grades'!$D$6:$D$1157,C146),"")</x:f>
      </x:c>
      <x:c r="F146" s="11" t="str">
        <x:f>IF(ISNUMBER(E146),E146/8,"")</x:f>
      </x:c>
      <x:c r="G146" s="2" t="str">
        <x:f>IF(D146=8,SUMIFS('Grades'!$L$6:$L$1157,'Grades'!$B$6:$B$1157,A146,'Grades'!$C$6:$C$1157,B146,'Grades'!$D$6:$D$1157,C146),"")</x:f>
      </x:c>
      <x:c r="H146" s="11" t="str">
        <x:f>IF(ISNUMBER(G146),G146/8,"")</x:f>
      </x:c>
      <x:c r="I146" s="2" t="n">
        <x:f>COUNTIFS('Grades'!$B$6:$B$1157,A146,'Grades'!$C$6:$C$1157,B146,'Grades'!$D$6:$D$1157,C146,'Grades'!$K$6:$K$1157,"BLOCKED")</x:f>
        <x:v>0</x:v>
      </x:c>
    </x:row>
    <x:row r="147" ht="24" customHeight="1">
      <x:c r="A147" s="2" t="str">
        <x:v>S10</x:v>
      </x:c>
      <x:c r="B147" s="2" t="str">
        <x:v>qwen_connected</x:v>
      </x:c>
      <x:c r="C147" s="2" t="n">
        <x:v>3</x:v>
      </x:c>
      <x:c r="D147" s="2" t="n">
        <x:f>SUMIFS('Grades'!$M$6:$M$1157,'Grades'!$B$6:$B$1157,A147,'Grades'!$C$6:$C$1157,B147,'Grades'!$D$6:$D$1157,C147)</x:f>
        <x:v>0</x:v>
      </x:c>
      <x:c r="E147" s="2" t="str">
        <x:f>IF(D147=8,SUMIFS('Grades'!$K$6:$K$1157,'Grades'!$B$6:$B$1157,A147,'Grades'!$C$6:$C$1157,B147,'Grades'!$D$6:$D$1157,C147),"")</x:f>
      </x:c>
      <x:c r="F147" s="11" t="str">
        <x:f>IF(ISNUMBER(E147),E147/8,"")</x:f>
      </x:c>
      <x:c r="G147" s="2" t="str">
        <x:f>IF(D147=8,SUMIFS('Grades'!$L$6:$L$1157,'Grades'!$B$6:$B$1157,A147,'Grades'!$C$6:$C$1157,B147,'Grades'!$D$6:$D$1157,C147),"")</x:f>
      </x:c>
      <x:c r="H147" s="11" t="str">
        <x:f>IF(ISNUMBER(G147),G147/8,"")</x:f>
      </x:c>
      <x:c r="I147" s="2" t="n">
        <x:f>COUNTIFS('Grades'!$B$6:$B$1157,A147,'Grades'!$C$6:$C$1157,B147,'Grades'!$D$6:$D$1157,C147,'Grades'!$K$6:$K$1157,"BLOCKED")</x:f>
        <x:v>0</x:v>
      </x:c>
    </x:row>
    <x:row r="148" ht="24" customHeight="1">
      <x:c r="A148" s="2" t="str">
        <x:v>S11</x:v>
      </x:c>
      <x:c r="B148" s="2" t="str">
        <x:v>qwen_connected</x:v>
      </x:c>
      <x:c r="C148" s="2" t="n">
        <x:v>3</x:v>
      </x:c>
      <x:c r="D148" s="2" t="n">
        <x:f>SUMIFS('Grades'!$M$6:$M$1157,'Grades'!$B$6:$B$1157,A148,'Grades'!$C$6:$C$1157,B148,'Grades'!$D$6:$D$1157,C148)</x:f>
        <x:v>0</x:v>
      </x:c>
      <x:c r="E148" s="2" t="str">
        <x:f>IF(D148=8,SUMIFS('Grades'!$K$6:$K$1157,'Grades'!$B$6:$B$1157,A148,'Grades'!$C$6:$C$1157,B148,'Grades'!$D$6:$D$1157,C148),"")</x:f>
      </x:c>
      <x:c r="F148" s="11" t="str">
        <x:f>IF(ISNUMBER(E148),E148/8,"")</x:f>
      </x:c>
      <x:c r="G148" s="2" t="str">
        <x:f>IF(D148=8,SUMIFS('Grades'!$L$6:$L$1157,'Grades'!$B$6:$B$1157,A148,'Grades'!$C$6:$C$1157,B148,'Grades'!$D$6:$D$1157,C148),"")</x:f>
      </x:c>
      <x:c r="H148" s="11" t="str">
        <x:f>IF(ISNUMBER(G148),G148/8,"")</x:f>
      </x:c>
      <x:c r="I148" s="2" t="n">
        <x:f>COUNTIFS('Grades'!$B$6:$B$1157,A148,'Grades'!$C$6:$C$1157,B148,'Grades'!$D$6:$D$1157,C148,'Grades'!$K$6:$K$1157,"BLOCKED")</x:f>
        <x:v>0</x:v>
      </x:c>
    </x:row>
    <x:row r="149" ht="24" customHeight="1">
      <x:c r="A149" s="2" t="str">
        <x:v>S12</x:v>
      </x:c>
      <x:c r="B149" s="2" t="str">
        <x:v>qwen_connected</x:v>
      </x:c>
      <x:c r="C149" s="2" t="n">
        <x:v>3</x:v>
      </x:c>
      <x:c r="D149" s="2" t="n">
        <x:f>SUMIFS('Grades'!$M$6:$M$1157,'Grades'!$B$6:$B$1157,A149,'Grades'!$C$6:$C$1157,B149,'Grades'!$D$6:$D$1157,C149)</x:f>
        <x:v>0</x:v>
      </x:c>
      <x:c r="E149" s="2" t="str">
        <x:f>IF(D149=8,SUMIFS('Grades'!$K$6:$K$1157,'Grades'!$B$6:$B$1157,A149,'Grades'!$C$6:$C$1157,B149,'Grades'!$D$6:$D$1157,C149),"")</x:f>
      </x:c>
      <x:c r="F149" s="11" t="str">
        <x:f>IF(ISNUMBER(E149),E149/8,"")</x:f>
      </x:c>
      <x:c r="G149" s="2" t="str">
        <x:f>IF(D149=8,SUMIFS('Grades'!$L$6:$L$1157,'Grades'!$B$6:$B$1157,A149,'Grades'!$C$6:$C$1157,B149,'Grades'!$D$6:$D$1157,C149),"")</x:f>
      </x:c>
      <x:c r="H149" s="11" t="str">
        <x:f>IF(ISNUMBER(G149),G149/8,"")</x:f>
      </x:c>
      <x:c r="I149" s="2" t="n">
        <x:f>COUNTIFS('Grades'!$B$6:$B$1157,A149,'Grades'!$C$6:$C$1157,B149,'Grades'!$D$6:$D$1157,C149,'Grades'!$K$6:$K$1157,"BLOCKED")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0534ec6e19452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72" hidden="0" customWidth="1"/>
    <x:col min="4" max="4" width="38" hidden="0" customWidth="1"/>
    <x:col min="5" max="5" width="65" hidden="0" customWidth="1"/>
    <x:col min="6" max="6" width="16" hidden="0" customWidth="1"/>
    <x:col min="7" max="7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Frozen expected-output criteria</x:v>
      </x:c>
      <x:c r="B2" s="2"/>
      <x:c r="C2" s="2"/>
      <x:c r="D2" s="2"/>
      <x:c r="E2" s="2"/>
      <x:c r="F2" s="2"/>
      <x:c r="G2" s="2"/>
    </x:row>
    <x:row r="3" ht="24" customHeight="1">
      <x:c r="A3" s="2" t="str">
        <x:v>96 binary checks. Equivalent supported meaning earns credit. Contradictions are recorded separately.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6" customHeight="1">
      <x:c r="A5" s="7" t="str">
        <x:v>Criterion</x:v>
      </x:c>
      <x:c r="B5" s="7" t="str">
        <x:v>Stage</x:v>
      </x:c>
      <x:c r="C5" s="7" t="str">
        <x:v>Expected output</x:v>
      </x:c>
      <x:c r="D5" s="7" t="str">
        <x:v>Evidence / contract</x:v>
      </x:c>
      <x:c r="E5" s="7" t="str">
        <x:v>Do not credit</x:v>
      </x:c>
      <x:c r="F5" s="7" t="str">
        <x:v>Clean packet</x:v>
      </x:c>
      <x:c r="G5" s="7" t="str">
        <x:v>Maximum</x:v>
      </x:c>
    </x:row>
    <x:row r="6" ht="44" customHeight="1">
      <x:c r="A6" s="2" t="str">
        <x:v>S01.01</x:v>
      </x:c>
      <x:c r="B6" s="10" t="str">
        <x:v>Incident understanding</x:v>
      </x:c>
      <x:c r="C6" s="10" t="str">
        <x:v>Retain the carrier fall into the pit onto sled/scaffold as the focal occurrence</x:v>
      </x:c>
      <x:c r="D6" s="10" t="str">
        <x:v>D01.S01</x:v>
      </x:c>
      <x:c r="E6" s="10" t="str">
        <x:v>Treat a proposed cause as the observed focal event</x:v>
      </x:c>
      <x:c r="F6" s="10" t="str">
        <x:v>S01-A</x:v>
      </x:c>
      <x:c r="G6" s="2" t="n">
        <x:v>1</x:v>
      </x:c>
    </x:row>
    <x:row r="7" ht="44" customHeight="1">
      <x:c r="A7" s="2" t="str">
        <x:v>S01.02</x:v>
      </x:c>
      <x:c r="B7" s="10" t="str">
        <x:v>Incident understanding</x:v>
      </x:c>
      <x:c r="C7" s="10" t="str">
        <x:v>Identify the raised, backup-roll-removed maintenance configuration</x:v>
      </x:c>
      <x:c r="D7" s="10" t="str">
        <x:v>D01.S01; D02.S01</x:v>
      </x:c>
      <x:c r="E7" s="10" t="str">
        <x:v>Use normal rolling configuration without qualification</x:v>
      </x:c>
      <x:c r="F7" s="10" t="str">
        <x:v>S01-A</x:v>
      </x:c>
      <x:c r="G7" s="2" t="n">
        <x:v>1</x:v>
      </x:c>
    </x:row>
    <x:row r="8" ht="44" customHeight="1">
      <x:c r="A8" s="2" t="str">
        <x:v>S01.03</x:v>
      </x:c>
      <x:c r="B8" s="10" t="str">
        <x:v>Incident understanding</x:v>
      </x:c>
      <x:c r="C8" s="10" t="str">
        <x:v>Use C17/V17 tags to resolve A/B naming ambiguity</x:v>
      </x:c>
      <x:c r="D8" s="10" t="str">
        <x:v>D04.S02</x:v>
      </x:c>
      <x:c r="E8" s="10" t="str">
        <x:v>Assign a circuit from its A/B nickname alone</x:v>
      </x:c>
      <x:c r="F8" s="10" t="str">
        <x:v>S01-A</x:v>
      </x:c>
      <x:c r="G8" s="2" t="n">
        <x:v>1</x:v>
      </x:c>
    </x:row>
    <x:row r="9" ht="44" customHeight="1">
      <x:c r="A9" s="2" t="str">
        <x:v>S01.04</x:v>
      </x:c>
      <x:c r="B9" s="10" t="str">
        <x:v>Incident understanding</x:v>
      </x:c>
      <x:c r="C9" s="10" t="str">
        <x:v>Distinguish CLOSED indication from hydraulic sealing</x:v>
      </x:c>
      <x:c r="D9" s="10" t="str">
        <x:v>D02.S03</x:v>
      </x:c>
      <x:c r="E9" s="10" t="str">
        <x:v>Confirm tight isolation from handle position</x:v>
      </x:c>
      <x:c r="F9" s="10" t="str">
        <x:v>S01-A</x:v>
      </x:c>
      <x:c r="G9" s="2" t="n">
        <x:v>1</x:v>
      </x:c>
    </x:row>
    <x:row r="10" ht="44" customHeight="1">
      <x:c r="A10" s="2" t="str">
        <x:v>S01.05</x:v>
      </x:c>
      <x:c r="B10" s="10" t="str">
        <x:v>Incident understanding</x:v>
      </x:c>
      <x:c r="C10" s="10" t="str">
        <x:v>Distinguish electrical isolation from positive mechanical restraint</x:v>
      </x:c>
      <x:c r="D10" s="10" t="str">
        <x:v>D02.S06</x:v>
      </x:c>
      <x:c r="E10" s="10" t="str">
        <x:v>Conclude electrical isolation removed gravity</x:v>
      </x:c>
      <x:c r="F10" s="10" t="str">
        <x:v>S01-A</x:v>
      </x:c>
      <x:c r="G10" s="2" t="n">
        <x:v>1</x:v>
      </x:c>
    </x:row>
    <x:row r="11" ht="44" customHeight="1">
      <x:c r="A11" s="2" t="str">
        <x:v>S01.06</x:v>
      </x:c>
      <x:c r="B11" s="10" t="str">
        <x:v>Incident understanding</x:v>
      </x:c>
      <x:c r="C11" s="10" t="str">
        <x:v>Identify D15 as an unreviewed interpretation with no independent corroboration</x:v>
      </x:c>
      <x:c r="D11" s="10" t="str">
        <x:v>D15.S01; D15.S02; D15.S03</x:v>
      </x:c>
      <x:c r="E11" s="10" t="str">
        <x:v>Count repeated interpretation as a new observation</x:v>
      </x:c>
      <x:c r="F11" s="10" t="str">
        <x:v>S01-A</x:v>
      </x:c>
      <x:c r="G11" s="2" t="n">
        <x:v>1</x:v>
      </x:c>
    </x:row>
    <x:row r="12" ht="44" customHeight="1">
      <x:c r="A12" s="2" t="str">
        <x:v>S01.07</x:v>
      </x:c>
      <x:c r="B12" s="10" t="str">
        <x:v>Incident understanding</x:v>
      </x:c>
      <x:c r="C12" s="10" t="str">
        <x:v>Keep actual block presence unknown from the procedure alone</x:v>
      </x:c>
      <x:c r="D12" s="10" t="str">
        <x:v>D04.S03</x:v>
      </x:c>
      <x:c r="E12" s="10" t="str">
        <x:v>Infer actual no-block execution from the omitted instruction</x:v>
      </x:c>
      <x:c r="F12" s="10" t="str">
        <x:v>S01-A</x:v>
      </x:c>
      <x:c r="G12" s="2" t="n">
        <x:v>1</x:v>
      </x:c>
    </x:row>
    <x:row r="13" ht="44" customHeight="1">
      <x:c r="A13" s="2" t="str">
        <x:v>S01.08</x:v>
      </x:c>
      <x:c r="B13" s="10" t="str">
        <x:v>Incident understanding</x:v>
      </x:c>
      <x:c r="C13" s="10" t="str">
        <x:v>Prioritize incident motion and actual isolation/restraint clarification</x:v>
      </x:c>
      <x:c r="D13" s="10" t="str">
        <x:v>D01.S03; D02.S04; D04.S03</x:v>
      </x:c>
      <x:c r="E13" s="10" t="str">
        <x:v>Begin with unrelated organizational questions or claim complete causal closure</x:v>
      </x:c>
      <x:c r="F13" s="10" t="str">
        <x:v>S01-A</x:v>
      </x:c>
      <x:c r="G13" s="2" t="n">
        <x:v>1</x:v>
      </x:c>
    </x:row>
    <x:row r="14" ht="44" customHeight="1">
      <x:c r="A14" s="2" t="str">
        <x:v>S02.01</x:v>
      </x:c>
      <x:c r="B14" s="10" t="str">
        <x:v>Mechanism hypotheses</x:v>
      </x:c>
      <x:c r="C14" s="10" t="str">
        <x:v>Propose fluid loss permitting loaded yoke descent as a conditional mechanism</x:v>
      </x:c>
      <x:c r="D14" s="10" t="str">
        <x:v>D02.S02</x:v>
      </x:c>
      <x:c r="E14" s="10" t="str">
        <x:v>Confirm incident leakage before incident records arrive</x:v>
      </x:c>
      <x:c r="F14" s="10" t="str">
        <x:v>S02-H</x:v>
      </x:c>
      <x:c r="G14" s="2" t="n">
        <x:v>1</x:v>
      </x:c>
    </x:row>
    <x:row r="15" ht="44" customHeight="1">
      <x:c r="A15" s="2" t="str">
        <x:v>S02.02</x:v>
      </x:c>
      <x:c r="B15" s="10" t="str">
        <x:v>Mechanism hypotheses</x:v>
      </x:c>
      <x:c r="C15" s="10" t="str">
        <x:v>Keep V17 seat leakage, external loss and alternate paths as distinguishable hydraulic candidates</x:v>
      </x:c>
      <x:c r="D15" s="10" t="str">
        <x:v>D02.S02; D02.S03</x:v>
      </x:c>
      <x:c r="E15" s="10" t="str">
        <x:v>Treat every fluid-loss route as the same proposition</x:v>
      </x:c>
      <x:c r="F15" s="10" t="str">
        <x:v>S02-H</x:v>
      </x:c>
      <x:c r="G15" s="2" t="n">
        <x:v>1</x:v>
      </x:c>
    </x:row>
    <x:row r="16" ht="44" customHeight="1">
      <x:c r="A16" s="2" t="str">
        <x:v>S02.03</x:v>
      </x:c>
      <x:c r="B16" s="10" t="str">
        <x:v>Mechanism hypotheses</x:v>
      </x:c>
      <x:c r="C16" s="10" t="str">
        <x:v>Specify incident flow/boundary evidence that distinguishes hydraulic paths</x:v>
      </x:c>
      <x:c r="D16" s="10" t="str">
        <x:v>D02.S02; D01.S03</x:v>
      </x:c>
      <x:c r="E16" s="10" t="str">
        <x:v>Ask only whether the valve was CLOSED</x:v>
      </x:c>
      <x:c r="F16" s="10" t="str">
        <x:v>S02-H</x:v>
      </x:c>
      <x:c r="G16" s="2" t="n">
        <x:v>1</x:v>
      </x:c>
    </x:row>
    <x:row r="17" ht="44" customHeight="1">
      <x:c r="A17" s="2" t="str">
        <x:v>S02.04</x:v>
      </x:c>
      <x:c r="B17" s="10" t="str">
        <x:v>Mechanism hypotheses</x:v>
      </x:c>
      <x:c r="C17" s="10" t="str">
        <x:v>Include restraint/load premises when testing fluid-loss contribution</x:v>
      </x:c>
      <x:c r="D17" s="10" t="str">
        <x:v>D02.S02; D02.S06</x:v>
      </x:c>
      <x:c r="E17" s="10" t="str">
        <x:v>Treat valve leakage alone as sufficient for the full fall</x:v>
      </x:c>
      <x:c r="F17" s="10" t="str">
        <x:v>S02-H</x:v>
      </x:c>
      <x:c r="G17" s="2" t="n">
        <x:v>1</x:v>
      </x:c>
    </x:row>
    <x:row r="18" ht="44" customHeight="1">
      <x:c r="A18" s="2" t="str">
        <x:v>S02.05</x:v>
      </x:c>
      <x:c r="B18" s="10" t="str">
        <x:v>Mechanism hypotheses</x:v>
      </x:c>
      <x:c r="C18" s="10" t="str">
        <x:v>Test relative yoke/carrier motion rather than yoke travel alone</x:v>
      </x:c>
      <x:c r="D18" s="10" t="str">
        <x:v>D02.S04; D02.S05</x:v>
      </x:c>
      <x:c r="E18" s="10" t="str">
        <x:v>Assume a moving yoke necessarily withdraws from a following carrier</x:v>
      </x:c>
      <x:c r="F18" s="10" t="str">
        <x:v>S02-M</x:v>
      </x:c>
      <x:c r="G18" s="2" t="n">
        <x:v>1</x:v>
      </x:c>
    </x:row>
    <x:row r="19" ht="44" customHeight="1">
      <x:c r="A19" s="2" t="str">
        <x:v>S02.06</x:v>
      </x:c>
      <x:c r="B19" s="10" t="str">
        <x:v>Mechanism hypotheses</x:v>
      </x:c>
      <x:c r="C19" s="10" t="str">
        <x:v>Keep primary seating loss separate from keeper-release mode</x:v>
      </x:c>
      <x:c r="D19" s="10" t="str">
        <x:v>D02.S05</x:v>
      </x:c>
      <x:c r="E19" s="10" t="str">
        <x:v>Equate reaching the primary threshold with proof of keeper bypass</x:v>
      </x:c>
      <x:c r="F19" s="10" t="str">
        <x:v>S02-M</x:v>
      </x:c>
      <x:c r="G19" s="2" t="n">
        <x:v>1</x:v>
      </x:c>
    </x:row>
    <x:row r="20" ht="44" customHeight="1">
      <x:c r="A20" s="2" t="str">
        <x:v>S02.07</x:v>
      </x:c>
      <x:c r="B20" s="10" t="str">
        <x:v>Mechanism hypotheses</x:v>
      </x:c>
      <x:c r="C20" s="10" t="str">
        <x:v>Propose distinct offset, rotation or deformation/geometry candidates for keeper release</x:v>
      </x:c>
      <x:c r="D20" s="10" t="str">
        <x:v>D02.S05; D01.S02</x:v>
      </x:c>
      <x:c r="E20" s="10" t="str">
        <x:v>Confirm one release mode from the fall or recovered attachment</x:v>
      </x:c>
      <x:c r="F20" s="10" t="str">
        <x:v>S02-M</x:v>
      </x:c>
      <x:c r="G20" s="2" t="n">
        <x:v>1</x:v>
      </x:c>
    </x:row>
    <x:row r="21" ht="44" customHeight="1">
      <x:c r="A21" s="2" t="str">
        <x:v>S02.08</x:v>
      </x:c>
      <x:c r="B21" s="10" t="str">
        <x:v>Mechanism hypotheses</x:v>
      </x:c>
      <x:c r="C21" s="10" t="str">
        <x:v>Request time/configuration-relevant contact and keeper geometry evidence</x:v>
      </x:c>
      <x:c r="D21" s="10" t="str">
        <x:v>D02.S04; D02.S05</x:v>
      </x:c>
      <x:c r="E21" s="10" t="str">
        <x:v>Use an intact keeper alone to rule out dynamic release</x:v>
      </x:c>
      <x:c r="F21" s="10" t="str">
        <x:v>S02-M</x:v>
      </x:c>
      <x:c r="G21" s="2" t="n">
        <x:v>1</x:v>
      </x:c>
    </x:row>
    <x:row r="22" ht="44" customHeight="1">
      <x:c r="A22" s="2" t="str">
        <x:v>S03.01</x:v>
      </x:c>
      <x:c r="B22" s="10" t="str">
        <x:v>Hypothesis and request review</x:v>
      </x:c>
      <x:c r="C22" s="10" t="str">
        <x:v>Merge two descriptions of the same scoped hydraulic-leak hypothesis without losing either citation</x:v>
      </x:c>
      <x:c r="D22" s="10" t="str">
        <x:v>D02.S02; fixture:equivalent_proposals</x:v>
      </x:c>
      <x:c r="E22" s="10" t="str">
        <x:v>Keep duplicate hypotheses solely because specialist IDs differ</x:v>
      </x:c>
      <x:c r="F22" s="10" t="str">
        <x:v>S03-A</x:v>
      </x:c>
      <x:c r="G22" s="2" t="n">
        <x:v>1</x:v>
      </x:c>
    </x:row>
    <x:row r="23" ht="44" customHeight="1">
      <x:c r="A23" s="2" t="str">
        <x:v>S03.02</x:v>
      </x:c>
      <x:c r="B23" s="10" t="str">
        <x:v>Hypothesis and request review</x:v>
      </x:c>
      <x:c r="C23" s="10" t="str">
        <x:v>Preserve hydraulic support loss and primary relative withdrawal as distinct steps</x:v>
      </x:c>
      <x:c r="D23" s="10" t="str">
        <x:v>D02.S02; D02.S04; D02.S05</x:v>
      </x:c>
      <x:c r="E23" s="10" t="str">
        <x:v>Collapse all mechanisms into one valve-caused-fall claim</x:v>
      </x:c>
      <x:c r="F23" s="10" t="str">
        <x:v>S03-A</x:v>
      </x:c>
      <x:c r="G23" s="2" t="n">
        <x:v>1</x:v>
      </x:c>
    </x:row>
    <x:row r="24" ht="44" customHeight="1">
      <x:c r="A24" s="2" t="str">
        <x:v>S03.03</x:v>
      </x:c>
      <x:c r="B24" s="10" t="str">
        <x:v>Hypothesis and request review</x:v>
      </x:c>
      <x:c r="C24" s="10" t="str">
        <x:v>Preserve keeper release as a distinct unresolved hypothesis</x:v>
      </x:c>
      <x:c r="D24" s="10" t="str">
        <x:v>D02.S05</x:v>
      </x:c>
      <x:c r="E24" s="10" t="str">
        <x:v>Treat keeper mode as answered by the hydraulic hypothesis</x:v>
      </x:c>
      <x:c r="F24" s="10" t="str">
        <x:v>S03-A</x:v>
      </x:c>
      <x:c r="G24" s="2" t="n">
        <x:v>1</x:v>
      </x:c>
    </x:row>
    <x:row r="25" ht="44" customHeight="1">
      <x:c r="A25" s="2" t="str">
        <x:v>S03.04</x:v>
      </x:c>
      <x:c r="B25" s="10" t="str">
        <x:v>Hypothesis and request review</x:v>
      </x:c>
      <x:c r="C25" s="10" t="str">
        <x:v>Combine overlapping motion-evidence requests into shared acquisition</x:v>
      </x:c>
      <x:c r="D25" s="10" t="str">
        <x:v>fixture:overlapping_requests; D02.S04</x:v>
      </x:c>
      <x:c r="E25" s="10" t="str">
        <x:v>Ask separately for the same clip under two specialist labels</x:v>
      </x:c>
      <x:c r="F25" s="10" t="str">
        <x:v>S03-A</x:v>
      </x:c>
      <x:c r="G25" s="2" t="n">
        <x:v>1</x:v>
      </x:c>
    </x:row>
    <x:row r="26" ht="44" customHeight="1">
      <x:c r="A26" s="2" t="str">
        <x:v>S03.05</x:v>
      </x:c>
      <x:c r="B26" s="10" t="str">
        <x:v>Hypothesis and request review</x:v>
      </x:c>
      <x:c r="C26" s="10" t="str">
        <x:v>Approve requests with incident asset, interval and needed measurement scope</x:v>
      </x:c>
      <x:c r="D26" s="10" t="str">
        <x:v>D01.S01; D02.S01; D04.S02</x:v>
      </x:c>
      <x:c r="E26" s="10" t="str">
        <x:v>Approve an unbounded request for all company documents</x:v>
      </x:c>
      <x:c r="F26" s="10" t="str">
        <x:v>S03-A</x:v>
      </x:c>
      <x:c r="G26" s="2" t="n">
        <x:v>1</x:v>
      </x:c>
    </x:row>
    <x:row r="27" ht="44" customHeight="1">
      <x:c r="A27" s="2" t="str">
        <x:v>S03.06</x:v>
      </x:c>
      <x:c r="B27" s="10" t="str">
        <x:v>Hypothesis and request review</x:v>
      </x:c>
      <x:c r="C27" s="10" t="str">
        <x:v>State how requested motion/hydraulic evidence supports or challenges hypotheses</x:v>
      </x:c>
      <x:c r="D27" s="10" t="str">
        <x:v>D02.S02; D02.S04; D02.S05</x:v>
      </x:c>
      <x:c r="E27" s="10" t="str">
        <x:v>Request records without a discriminating purpose</x:v>
      </x:c>
      <x:c r="F27" s="10" t="str">
        <x:v>S03-A</x:v>
      </x:c>
      <x:c r="G27" s="2" t="n">
        <x:v>1</x:v>
      </x:c>
    </x:row>
    <x:row r="28" ht="44" customHeight="1">
      <x:c r="A28" s="2" t="str">
        <x:v>S03.07</x:v>
      </x:c>
      <x:c r="B28" s="10" t="str">
        <x:v>Hypothesis and request review</x:v>
      </x:c>
      <x:c r="C28" s="10" t="str">
        <x:v>Retain conditional hypothesis status until occurrence evidence arrives</x:v>
      </x:c>
      <x:c r="D28" s="10" t="str">
        <x:v>D01.S03; D02.S05</x:v>
      </x:c>
      <x:c r="E28" s="10" t="str">
        <x:v>Promote a plausible specialist explanation to a supported incident cause</x:v>
      </x:c>
      <x:c r="F28" s="10" t="str">
        <x:v>S03-A</x:v>
      </x:c>
      <x:c r="G28" s="2" t="n">
        <x:v>1</x:v>
      </x:c>
    </x:row>
    <x:row r="29" ht="44" customHeight="1">
      <x:c r="A29" s="2" t="str">
        <x:v>S03.08</x:v>
      </x:c>
      <x:c r="B29" s="10" t="str">
        <x:v>Hypothesis and request review</x:v>
      </x:c>
      <x:c r="C29" s="10" t="str">
        <x:v>Dispatch useful specialist/evidence work without waiting for complete machine knowledge</x:v>
      </x:c>
      <x:c r="D29" s="10" t="str">
        <x:v>harness:lead-contract</x:v>
      </x:c>
      <x:c r="E29" s="10" t="str">
        <x:v>Stop all branches because one mechanism is unknown</x:v>
      </x:c>
      <x:c r="F29" s="10" t="str">
        <x:v>S03-A</x:v>
      </x:c>
      <x:c r="G29" s="2" t="n">
        <x:v>1</x:v>
      </x:c>
    </x:row>
    <x:row r="30" ht="44" customHeight="1">
      <x:c r="A30" s="2" t="str">
        <x:v>S04.01</x:v>
      </x:c>
      <x:c r="B30" s="10" t="str">
        <x:v>Search and request coverage</x:v>
      </x:c>
      <x:c r="C30" s="10" t="str">
        <x:v>Distinguish documents searched from documents that answer the motion request</x:v>
      </x:c>
      <x:c r="D30" s="10" t="str">
        <x:v>D01.S03; D02.S04</x:v>
      </x:c>
      <x:c r="E30" s="10" t="str">
        <x:v>Treat a notice saying video exists as the video measurement</x:v>
      </x:c>
      <x:c r="F30" s="10" t="str">
        <x:v>S04-A</x:v>
      </x:c>
      <x:c r="G30" s="2" t="n">
        <x:v>1</x:v>
      </x:c>
    </x:row>
    <x:row r="31" ht="44" customHeight="1">
      <x:c r="A31" s="2" t="str">
        <x:v>S04.02</x:v>
      </x:c>
      <x:c r="B31" s="10" t="str">
        <x:v>Search and request coverage</x:v>
      </x:c>
      <x:c r="C31" s="10" t="str">
        <x:v>Keep the initial missing motion measurement awaiting user rather than disproven/unavailable</x:v>
      </x:c>
      <x:c r="D31" s="10" t="str">
        <x:v>D01.S03</x:v>
      </x:c>
      <x:c r="E31" s="10" t="str">
        <x:v>Declare the motion route impossible from a search miss</x:v>
      </x:c>
      <x:c r="F31" s="10" t="str">
        <x:v>S04-A</x:v>
      </x:c>
      <x:c r="G31" s="2" t="n">
        <x:v>1</x:v>
      </x:c>
    </x:row>
    <x:row r="32" ht="44" customHeight="1">
      <x:c r="A32" s="2" t="str">
        <x:v>S04.03</x:v>
      </x:c>
      <x:c r="B32" s="10" t="str">
        <x:v>Search and request coverage</x:v>
      </x:c>
      <x:c r="C32" s="10" t="str">
        <x:v>Ask for the relevant motion interval and both moving objects</x:v>
      </x:c>
      <x:c r="D32" s="10" t="str">
        <x:v>D02.S04; D01.S01</x:v>
      </x:c>
      <x:c r="E32" s="10" t="str">
        <x:v>Ask only for absolute yoke travel</x:v>
      </x:c>
      <x:c r="F32" s="10" t="str">
        <x:v>S04-A</x:v>
      </x:c>
      <x:c r="G32" s="2" t="n">
        <x:v>1</x:v>
      </x:c>
    </x:row>
    <x:row r="33" ht="44" customHeight="1">
      <x:c r="A33" s="2" t="str">
        <x:v>S04.04</x:v>
      </x:c>
      <x:c r="B33" s="10" t="str">
        <x:v>Search and request coverage</x:v>
      </x:c>
      <x:c r="C33" s="10" t="str">
        <x:v>Keep evidence-worker output about request coverage rather than causal adjudication</x:v>
      </x:c>
      <x:c r="D33" s="10" t="str">
        <x:v>harness:evidence-contract</x:v>
      </x:c>
      <x:c r="E33" s="10" t="str">
        <x:v>Commit supported causal nodes in an evidence-worker response</x:v>
      </x:c>
      <x:c r="F33" s="10" t="str">
        <x:v>S04-A</x:v>
      </x:c>
      <x:c r="G33" s="2" t="n">
        <x:v>1</x:v>
      </x:c>
    </x:row>
    <x:row r="34" ht="44" customHeight="1">
      <x:c r="A34" s="2" t="str">
        <x:v>S04.05</x:v>
      </x:c>
      <x:c r="B34" s="10" t="str">
        <x:v>Search and request coverage</x:v>
      </x:c>
      <x:c r="C34" s="10" t="str">
        <x:v>Recognize D07 answers vertical yoke/carrier displacement over the same interval</x:v>
      </x:c>
      <x:c r="D34" s="10" t="str">
        <x:v>D07.S01; D07.S02</x:v>
      </x:c>
      <x:c r="E34" s="10" t="str">
        <x:v>Leave those delivered fields unacknowledged</x:v>
      </x:c>
      <x:c r="F34" s="10" t="str">
        <x:v>S04-B</x:v>
      </x:c>
      <x:c r="G34" s="2" t="n">
        <x:v>1</x:v>
      </x:c>
    </x:row>
    <x:row r="35" ht="44" customHeight="1">
      <x:c r="A35" s="2" t="str">
        <x:v>S04.06</x:v>
      </x:c>
      <x:c r="B35" s="10" t="str">
        <x:v>Search and request coverage</x:v>
      </x:c>
      <x:c r="C35" s="10" t="str">
        <x:v>Separate D07 release timing from the displacement measurement endpoint</x:v>
      </x:c>
      <x:c r="D35" s="10" t="str">
        <x:v>D07.S02; D07.S03</x:v>
      </x:c>
      <x:c r="E35" s="10" t="str">
        <x:v>Claim the displacement interval includes all release motion</x:v>
      </x:c>
      <x:c r="F35" s="10" t="str">
        <x:v>S04-B</x:v>
      </x:c>
      <x:c r="G35" s="2" t="n">
        <x:v>1</x:v>
      </x:c>
    </x:row>
    <x:row r="36" ht="44" customHeight="1">
      <x:c r="A36" s="2" t="str">
        <x:v>S04.07</x:v>
      </x:c>
      <x:c r="B36" s="10" t="str">
        <x:v>Search and request coverage</x:v>
      </x:c>
      <x:c r="C36" s="10" t="str">
        <x:v>Retain keeper interface/offset as not covered by D07</x:v>
      </x:c>
      <x:c r="D36" s="10" t="str">
        <x:v>D07.S03</x:v>
      </x:c>
      <x:c r="E36" s="10" t="str">
        <x:v>Say receipt of the video resolves keeper mode</x:v>
      </x:c>
      <x:c r="F36" s="10" t="str">
        <x:v>S04-B</x:v>
      </x:c>
      <x:c r="G36" s="2" t="n">
        <x:v>1</x:v>
      </x:c>
    </x:row>
    <x:row r="37" ht="44" customHeight="1">
      <x:c r="A37" s="2" t="str">
        <x:v>S04.08</x:v>
      </x:c>
      <x:c r="B37" s="10" t="str">
        <x:v>Search and request coverage</x:v>
      </x:c>
      <x:c r="C37" s="10" t="str">
        <x:v>Narrow the remaining request fields to genuine uncovered scope</x:v>
      </x:c>
      <x:c r="D37" s="10" t="str">
        <x:v>D07.S01; D07.S02; D07.S03</x:v>
      </x:c>
      <x:c r="E37" s="10" t="str">
        <x:v>Request the same already-supplied vertical measurements again</x:v>
      </x:c>
      <x:c r="F37" s="10" t="str">
        <x:v>S04-B</x:v>
      </x:c>
      <x:c r="G37" s="2" t="n">
        <x:v>1</x:v>
      </x:c>
    </x:row>
    <x:row r="38" ht="44" customHeight="1">
      <x:c r="A38" s="2" t="str">
        <x:v>S05.01</x:v>
      </x:c>
      <x:c r="B38" s="10" t="str">
        <x:v>Motion and witness assessment</x:v>
      </x:c>
      <x:c r="C38" s="10" t="str">
        <x:v>Extract yoke displacement 40 +/- 1 mm</x:v>
      </x:c>
      <x:c r="D38" s="10" t="str">
        <x:v>D07.S02</x:v>
      </x:c>
      <x:c r="E38" s="10" t="str">
        <x:v>Wrong object, unit or magnitude</x:v>
      </x:c>
      <x:c r="F38" s="10" t="str">
        <x:v>S05-A</x:v>
      </x:c>
      <x:c r="G38" s="2" t="n">
        <x:v>1</x:v>
      </x:c>
    </x:row>
    <x:row r="39" ht="44" customHeight="1">
      <x:c r="A39" s="2" t="str">
        <x:v>S05.02</x:v>
      </x:c>
      <x:c r="B39" s="10" t="str">
        <x:v>Motion and witness assessment</x:v>
      </x:c>
      <x:c r="C39" s="10" t="str">
        <x:v>Extract carrier displacement 0 +/- 1 mm in the same frame/window</x:v>
      </x:c>
      <x:c r="D39" s="10" t="str">
        <x:v>D07.S02</x:v>
      </x:c>
      <x:c r="E39" s="10" t="str">
        <x:v>Treat the carrier displacement as unmeasured or exactly zero without its bound</x:v>
      </x:c>
      <x:c r="F39" s="10" t="str">
        <x:v>S05-A</x:v>
      </x:c>
      <x:c r="G39" s="2" t="n">
        <x:v>1</x:v>
      </x:c>
    </x:row>
    <x:row r="40" ht="44" customHeight="1">
      <x:c r="A40" s="2" t="str">
        <x:v>S05.03</x:v>
      </x:c>
      <x:c r="B40" s="10" t="str">
        <x:v>Motion and witness assessment</x:v>
      </x:c>
      <x:c r="C40" s="10" t="str">
        <x:v>Compute relative withdrawal interval 38-42 mm</x:v>
      </x:c>
      <x:c r="D40" s="10" t="str">
        <x:v>D02.S04; D07.S02</x:v>
      </x:c>
      <x:c r="E40" s="10" t="str">
        <x:v>Use only 40 mm absolute travel or unjustified independent-error combination</x:v>
      </x:c>
      <x:c r="F40" s="10" t="str">
        <x:v>S05-A</x:v>
      </x:c>
      <x:c r="G40" s="2" t="n">
        <x:v>1</x:v>
      </x:c>
    </x:row>
    <x:row r="41" ht="44" customHeight="1">
      <x:c r="A41" s="2" t="str">
        <x:v>S05.04</x:v>
      </x:c>
      <x:c r="B41" s="10" t="str">
        <x:v>Motion and witness assessment</x:v>
      </x:c>
      <x:c r="C41" s="10" t="str">
        <x:v>Conclude the 30 mm primary seat threshold is exceeded by the measured endpoint</x:v>
      </x:c>
      <x:c r="D41" s="10" t="str">
        <x:v>D02.S05; D07.S02</x:v>
      </x:c>
      <x:c r="E41" s="10" t="str">
        <x:v>Leave primary loss unassessable despite the applicable measurement</x:v>
      </x:c>
      <x:c r="F41" s="10" t="str">
        <x:v>S05-A</x:v>
      </x:c>
      <x:c r="G41" s="2" t="n">
        <x:v>1</x:v>
      </x:c>
    </x:row>
    <x:row r="42" ht="44" customHeight="1">
      <x:c r="A42" s="2" t="str">
        <x:v>S05.05</x:v>
      </x:c>
      <x:c r="B42" s="10" t="str">
        <x:v>Motion and witness assessment</x:v>
      </x:c>
      <x:c r="C42" s="10" t="str">
        <x:v>Associate visible contact and stationary carrier with a scoped holding contribution</x:v>
      </x:c>
      <x:c r="D42" s="10" t="str">
        <x:v>D02.S04; D07.S02</x:v>
      </x:c>
      <x:c r="E42" s="10" t="str">
        <x:v>Assert that yoke descent caused the carrier to remain stationary</x:v>
      </x:c>
      <x:c r="F42" s="10" t="str">
        <x:v>S05-A</x:v>
      </x:c>
      <x:c r="G42" s="2" t="n">
        <x:v>1</x:v>
      </x:c>
    </x:row>
    <x:row r="43" ht="44" customHeight="1">
      <x:c r="A43" s="2" t="str">
        <x:v>S05.06</x:v>
      </x:c>
      <x:c r="B43" s="10" t="str">
        <x:v>Motion and witness assessment</x:v>
      </x:c>
      <x:c r="C43" s="10" t="str">
        <x:v>Preserve the 13:24:00 endpoint versus 13:24:03 release distinction</x:v>
      </x:c>
      <x:c r="D43" s="10" t="str">
        <x:v>D07.S02; D07.S03</x:v>
      </x:c>
      <x:c r="E43" s="10" t="str">
        <x:v>Invent a measured displacement during the unmeasured release interval</x:v>
      </x:c>
      <x:c r="F43" s="10" t="str">
        <x:v>S05-A</x:v>
      </x:c>
      <x:c r="G43" s="2" t="n">
        <x:v>1</x:v>
      </x:c>
    </x:row>
    <x:row r="44" ht="44" customHeight="1">
      <x:c r="A44" s="2" t="str">
        <x:v>S05.07</x:v>
      </x:c>
      <x:c r="B44" s="10" t="str">
        <x:v>Motion and witness assessment</x:v>
      </x:c>
      <x:c r="C44" s="10" t="str">
        <x:v>Keep the specific keeper mode unresolved despite primary seating loss</x:v>
      </x:c>
      <x:c r="D44" s="10" t="str">
        <x:v>D07.S03; D02.S05</x:v>
      </x:c>
      <x:c r="E44" s="10" t="str">
        <x:v>Infer a specific offset or rotation merely because the carrier fell</x:v>
      </x:c>
      <x:c r="F44" s="10" t="str">
        <x:v>S05-A</x:v>
      </x:c>
      <x:c r="G44" s="2" t="n">
        <x:v>1</x:v>
      </x:c>
    </x:row>
    <x:row r="45" ht="44" customHeight="1">
      <x:c r="A45" s="2" t="str">
        <x:v>S05.08</x:v>
      </x:c>
      <x:c r="B45" s="10" t="str">
        <x:v>Motion and witness assessment</x:v>
      </x:c>
      <x:c r="C45" s="10" t="str">
        <x:v>Treat W-A/W-B as compatible, limited observations of different components</x:v>
      </x:c>
      <x:c r="D45" s="10" t="str">
        <x:v>D06A.S01; D06A.S02; D06B.S01; D06B.S02</x:v>
      </x:c>
      <x:c r="E45" s="10" t="str">
        <x:v>Declare contradictory witnesses or use them as calibrated displacement measurements</x:v>
      </x:c>
      <x:c r="F45" s="10" t="str">
        <x:v>S05-A</x:v>
      </x:c>
      <x:c r="G45" s="2" t="n">
        <x:v>1</x:v>
      </x:c>
    </x:row>
    <x:row r="46" ht="44" customHeight="1">
      <x:c r="A46" s="2" t="str">
        <x:v>S06.01</x:v>
      </x:c>
      <x:c r="B46" s="10" t="str">
        <x:v>Hydraulics and execution assessment</x:v>
      </x:c>
      <x:c r="C46" s="10" t="str">
        <x:v>Use D08 incident evidence to identify flow through the tagged V17 route despite CLOSED indication</x:v>
      </x:c>
      <x:c r="D46" s="10" t="str">
        <x:v>D08.S01; D08.S02</x:v>
      </x:c>
      <x:c r="E46" s="10" t="str">
        <x:v>Use D09 later testing alone to establish the incident rate</x:v>
      </x:c>
      <x:c r="F46" s="10" t="str">
        <x:v>S06-A</x:v>
      </x:c>
      <x:c r="G46" s="2" t="n">
        <x:v>1</x:v>
      </x:c>
    </x:row>
    <x:row r="47" ht="44" customHeight="1">
      <x:c r="A47" s="2" t="str">
        <x:v>S06.02</x:v>
      </x:c>
      <x:c r="B47" s="10" t="str">
        <x:v>Hydraulics and execution assessment</x:v>
      </x:c>
      <x:c r="C47" s="10" t="str">
        <x:v>Convert 0.400 +/- 0.010 L to 390-410 cm3</x:v>
      </x:c>
      <x:c r="D47" s="10" t="str">
        <x:v>D08.S02</x:v>
      </x:c>
      <x:c r="E47" s="10" t="str">
        <x:v>A factor-of-ten or litre-to-volume conversion error</x:v>
      </x:c>
      <x:c r="F47" s="10" t="str">
        <x:v>S06-A</x:v>
      </x:c>
      <x:c r="G47" s="2" t="n">
        <x:v>1</x:v>
      </x:c>
    </x:row>
    <x:row r="48" ht="44" customHeight="1">
      <x:c r="A48" s="2" t="str">
        <x:v>S06.03</x:v>
      </x:c>
      <x:c r="B48" s="10" t="str">
        <x:v>Hydraulics and execution assessment</x:v>
      </x:c>
      <x:c r="C48" s="10" t="str">
        <x:v>Apply 100 cm2 area and 1:1 motion to obtain 39-41 mm yoke displacement</x:v>
      </x:c>
      <x:c r="D48" s="10" t="str">
        <x:v>D02.S02; D08.S03</x:v>
      </x:c>
      <x:c r="E48" s="10" t="str">
        <x:v>Omit area/ratio or give incompatible displacement</x:v>
      </x:c>
      <x:c r="F48" s="10" t="str">
        <x:v>S06-A</x:v>
      </x:c>
      <x:c r="G48" s="2" t="n">
        <x:v>1</x:v>
      </x:c>
    </x:row>
    <x:row r="49" ht="44" customHeight="1">
      <x:c r="A49" s="2" t="str">
        <x:v>S06.04</x:v>
      </x:c>
      <x:c r="B49" s="10" t="str">
        <x:v>Hydraulics and execution assessment</x:v>
      </x:c>
      <x:c r="C49" s="10" t="str">
        <x:v>Recognize the hydraulic displacement is consistent with the motion measurement</x:v>
      </x:c>
      <x:c r="D49" s="10" t="str">
        <x:v>D07.S02; D08.S02; D08.S03</x:v>
      </x:c>
      <x:c r="E49" s="10" t="str">
        <x:v>Claim the two calibrated ranges conflict</x:v>
      </x:c>
      <x:c r="F49" s="10" t="str">
        <x:v>S06-A</x:v>
      </x:c>
      <x:c r="G49" s="2" t="n">
        <x:v>1</x:v>
      </x:c>
    </x:row>
    <x:row r="50" ht="44" customHeight="1">
      <x:c r="A50" s="2" t="str">
        <x:v>S06.05</x:v>
      </x:c>
      <x:c r="B50" s="10" t="str">
        <x:v>Hydraulics and execution assessment</x:v>
      </x:c>
      <x:c r="C50" s="10" t="str">
        <x:v>Establish actual no-block condition from execution/boundary evidence</x:v>
      </x:c>
      <x:c r="D50" s="10" t="str">
        <x:v>D05.S02; D08.S03</x:v>
      </x:c>
      <x:c r="E50" s="10" t="str">
        <x:v>Use procedure omission alone as proof of actual execution</x:v>
      </x:c>
      <x:c r="F50" s="10" t="str">
        <x:v>S06-A</x:v>
      </x:c>
      <x:c r="G50" s="2" t="n">
        <x:v>1</x:v>
      </x:c>
    </x:row>
    <x:row r="51" ht="44" customHeight="1">
      <x:c r="A51" s="2" t="str">
        <x:v>S06.06</x:v>
      </x:c>
      <x:c r="B51" s="10" t="str">
        <x:v>Hydraulics and execution assessment</x:v>
      </x:c>
      <x:c r="C51" s="10" t="str">
        <x:v>Refute sufficient external-loss/alternate-path explanations only within the measured boundary</x:v>
      </x:c>
      <x:c r="D51" s="10" t="str">
        <x:v>D08.S02; D08.S03</x:v>
      </x:c>
      <x:c r="E51" s="10" t="str">
        <x:v>Universally exclude all hydraulic routes or ignore scope/sensitivity</x:v>
      </x:c>
      <x:c r="F51" s="10" t="str">
        <x:v>S06-A</x:v>
      </x:c>
      <x:c r="G51" s="2" t="n">
        <x:v>1</x:v>
      </x:c>
    </x:row>
    <x:row r="52" ht="44" customHeight="1">
      <x:c r="A52" s="2" t="str">
        <x:v>S06.07</x:v>
      </x:c>
      <x:c r="B52" s="10" t="str">
        <x:v>Hydraulics and execution assessment</x:v>
      </x:c>
      <x:c r="C52" s="10" t="str">
        <x:v>Combine fluid loss, raised load and absent positive restraint when explaining descent</x:v>
      </x:c>
      <x:c r="D52" s="10" t="str">
        <x:v>D02.S02; D02.S06; D05.S02; D08.S02</x:v>
      </x:c>
      <x:c r="E52" s="10" t="str">
        <x:v>Say leakage alone caused the entire fall</x:v>
      </x:c>
      <x:c r="F52" s="10" t="str">
        <x:v>S06-A</x:v>
      </x:c>
      <x:c r="G52" s="2" t="n">
        <x:v>1</x:v>
      </x:c>
    </x:row>
    <x:row r="53" ht="44" customHeight="1">
      <x:c r="A53" s="2" t="str">
        <x:v>S06.08</x:v>
      </x:c>
      <x:c r="B53" s="10" t="str">
        <x:v>Hydraulics and execution assessment</x:v>
      </x:c>
      <x:c r="C53" s="10" t="str">
        <x:v>Leave component-defect onset and keeper mode unresolved after hydraulic confirmation</x:v>
      </x:c>
      <x:c r="D53" s="10" t="str">
        <x:v>D08.S04</x:v>
      </x:c>
      <x:c r="E53" s="10" t="str">
        <x:v>Infer contamination age or full release dynamics from the flow meter</x:v>
      </x:c>
      <x:c r="F53" s="10" t="str">
        <x:v>S06-A</x:v>
      </x:c>
      <x:c r="G53" s="2" t="n">
        <x:v>1</x:v>
      </x:c>
    </x:row>
    <x:row r="54" ht="44" customHeight="1">
      <x:c r="A54" s="2" t="str">
        <x:v>S07.01</x:v>
      </x:c>
      <x:c r="B54" s="10" t="str">
        <x:v>Physical causal board</x:v>
      </x:c>
      <x:c r="C54" s="10" t="str">
        <x:v>Represent the observed fall independently of whether the complete causal path is established</x:v>
      </x:c>
      <x:c r="D54" s="10" t="str">
        <x:v>D01.S01; D07.S03</x:v>
      </x:c>
      <x:c r="E54" s="10" t="str">
        <x:v>Withdraw the observed fall because a mechanism remains unknown</x:v>
      </x:c>
      <x:c r="F54" s="10" t="str">
        <x:v>S07-A</x:v>
      </x:c>
      <x:c r="G54" s="2" t="n">
        <x:v>1</x:v>
      </x:c>
    </x:row>
    <x:row r="55" ht="44" customHeight="1">
      <x:c r="A55" s="2" t="str">
        <x:v>S07.02</x:v>
      </x:c>
      <x:c r="B55" s="10" t="str">
        <x:v>Physical causal board</x:v>
      </x:c>
      <x:c r="C55" s="10" t="str">
        <x:v>Represent fluid loss plus load/no block jointly contributing to yoke descent</x:v>
      </x:c>
      <x:c r="D55" s="10" t="str">
        <x:v>D02.S02; D05.S02; D08.S02</x:v>
      </x:c>
      <x:c r="E55" s="10" t="str">
        <x:v>A sufficient leakage-to-fall arrow with missing premises</x:v>
      </x:c>
      <x:c r="F55" s="10" t="str">
        <x:v>S07-A</x:v>
      </x:c>
      <x:c r="G55" s="2" t="n">
        <x:v>1</x:v>
      </x:c>
    </x:row>
    <x:row r="56" ht="44" customHeight="1">
      <x:c r="A56" s="2" t="str">
        <x:v>S07.03</x:v>
      </x:c>
      <x:c r="B56" s="10" t="str">
        <x:v>Physical causal board</x:v>
      </x:c>
      <x:c r="C56" s="10" t="str">
        <x:v>Represent both yoke and carrier motion as inputs to relative withdrawal</x:v>
      </x:c>
      <x:c r="D56" s="10" t="str">
        <x:v>D02.S04; D07.S02</x:v>
      </x:c>
      <x:c r="E56" s="10" t="str">
        <x:v>A causal arrow from yoke descent to stationary carrier</x:v>
      </x:c>
      <x:c r="F56" s="10" t="str">
        <x:v>S07-A</x:v>
      </x:c>
      <x:c r="G56" s="2" t="n">
        <x:v>1</x:v>
      </x:c>
    </x:row>
    <x:row r="57" ht="44" customHeight="1">
      <x:c r="A57" s="2" t="str">
        <x:v>S07.04</x:v>
      </x:c>
      <x:c r="B57" s="10" t="str">
        <x:v>Physical causal board</x:v>
      </x:c>
      <x:c r="C57" s="10" t="str">
        <x:v>Represent relative threshold exceedance leading to primary seating loss</x:v>
      </x:c>
      <x:c r="D57" s="10" t="str">
        <x:v>D02.S05; D07.S02</x:v>
      </x:c>
      <x:c r="E57" s="10" t="str">
        <x:v>Skip the relative measurement/threshold relationship</x:v>
      </x:c>
      <x:c r="F57" s="10" t="str">
        <x:v>S07-A</x:v>
      </x:c>
      <x:c r="G57" s="2" t="n">
        <x:v>1</x:v>
      </x:c>
    </x:row>
    <x:row r="58" ht="44" customHeight="1">
      <x:c r="A58" s="2" t="str">
        <x:v>S07.05</x:v>
      </x:c>
      <x:c r="B58" s="10" t="str">
        <x:v>Physical causal board</x:v>
      </x:c>
      <x:c r="C58" s="10" t="str">
        <x:v>Preserve an explicit unresolved keeper bridge before complete fall-path confirmation</x:v>
      </x:c>
      <x:c r="D58" s="10" t="str">
        <x:v>D02.S05; D10.S03</x:v>
      </x:c>
      <x:c r="E58" s="10" t="str">
        <x:v>Mark the entire release path supported</x:v>
      </x:c>
      <x:c r="F58" s="10" t="str">
        <x:v>S07-A</x:v>
      </x:c>
      <x:c r="G58" s="2" t="n">
        <x:v>1</x:v>
      </x:c>
    </x:row>
    <x:row r="59" ht="44" customHeight="1">
      <x:c r="A59" s="2" t="str">
        <x:v>S07.06</x:v>
      </x:c>
      <x:c r="B59" s="10" t="str">
        <x:v>Physical causal board</x:v>
      </x:c>
      <x:c r="C59" s="10" t="str">
        <x:v>Keep actual block absence distinct from procedure omission</x:v>
      </x:c>
      <x:c r="D59" s="10" t="str">
        <x:v>D04.S03; D05.S02</x:v>
      </x:c>
      <x:c r="E59" s="10" t="str">
        <x:v>Treat the two as an interchangeable node</x:v>
      </x:c>
      <x:c r="F59" s="10" t="str">
        <x:v>S07-A</x:v>
      </x:c>
      <x:c r="G59" s="2" t="n">
        <x:v>1</x:v>
      </x:c>
    </x:row>
    <x:row r="60" ht="44" customHeight="1">
      <x:c r="A60" s="2" t="str">
        <x:v>S07.07</x:v>
      </x:c>
      <x:c r="B60" s="10" t="str">
        <x:v>Physical causal board</x:v>
      </x:c>
      <x:c r="C60" s="10" t="str">
        <x:v>Represent procedure-to-absence contribution as unestablished without a decision/execution bridge</x:v>
      </x:c>
      <x:c r="D60" s="10" t="str">
        <x:v>D04.S03; D05.S03</x:v>
      </x:c>
      <x:c r="E60" s="10" t="str">
        <x:v>Promote omission plus absence into proven procedural causation</x:v>
      </x:c>
      <x:c r="F60" s="10" t="str">
        <x:v>S07-A</x:v>
      </x:c>
      <x:c r="G60" s="2" t="n">
        <x:v>1</x:v>
      </x:c>
    </x:row>
    <x:row r="61" ht="44" customHeight="1">
      <x:c r="A61" s="2" t="str">
        <x:v>S07.08</x:v>
      </x:c>
      <x:c r="B61" s="10" t="str">
        <x:v>Physical causal board</x:v>
      </x:c>
      <x:c r="C61" s="10" t="str">
        <x:v>Preserve independent established hydraulic/motion findings while keeper evidence is missing</x:v>
      </x:c>
      <x:c r="D61" s="10" t="str">
        <x:v>D07.S02; D08.S02; D10.S03</x:v>
      </x:c>
      <x:c r="E61" s="10" t="str">
        <x:v>Make every physical finding unresolved because keeper mode is unknown</x:v>
      </x:c>
      <x:c r="F61" s="10" t="str">
        <x:v>S07-A</x:v>
      </x:c>
      <x:c r="G61" s="2" t="n">
        <x:v>1</x:v>
      </x:c>
    </x:row>
    <x:row r="62" ht="44" customHeight="1">
      <x:c r="A62" s="2" t="str">
        <x:v>S08.01</x:v>
      </x:c>
      <x:c r="B62" s="10" t="str">
        <x:v>Upstream hypotheses</x:v>
      </x:c>
      <x:c r="C62" s="10" t="str">
        <x:v>Expand established V17 leakage into competing origin hypotheses</x:v>
      </x:c>
      <x:c r="D62" s="10" t="str">
        <x:v>D08.S04; D02.S03</x:v>
      </x:c>
      <x:c r="E62" s="10" t="str">
        <x:v>Repeat only whether leakage occurred or assert one origin</x:v>
      </x:c>
      <x:c r="F62" s="10" t="str">
        <x:v>S08-V</x:v>
      </x:c>
      <x:c r="G62" s="2" t="n">
        <x:v>1</x:v>
      </x:c>
    </x:row>
    <x:row r="63" ht="44" customHeight="1">
      <x:c r="A63" s="2" t="str">
        <x:v>S08.02</x:v>
      </x:c>
      <x:c r="B63" s="10" t="str">
        <x:v>Upstream hypotheses</x:v>
      </x:c>
      <x:c r="C63" s="10" t="str">
        <x:v>Seek component/maintenance evidence capable of distinguishing valve origins</x:v>
      </x:c>
      <x:c r="D63" s="10" t="str">
        <x:v>D08.S04; D01.S03</x:v>
      </x:c>
      <x:c r="E63" s="10" t="str">
        <x:v>Request only another handle-position confirmation</x:v>
      </x:c>
      <x:c r="F63" s="10" t="str">
        <x:v>S08-V</x:v>
      </x:c>
      <x:c r="G63" s="2" t="n">
        <x:v>1</x:v>
      </x:c>
    </x:row>
    <x:row r="64" ht="44" customHeight="1">
      <x:c r="A64" s="2" t="str">
        <x:v>S08.03</x:v>
      </x:c>
      <x:c r="B64" s="10" t="str">
        <x:v>Upstream hypotheses</x:v>
      </x:c>
      <x:c r="C64" s="10" t="str">
        <x:v>Investigate inspection/detection opportunity without assuming the policy physically caused contamination</x:v>
      </x:c>
      <x:c r="D64" s="10" t="str">
        <x:v>D08.S04; D11.S02</x:v>
      </x:c>
      <x:c r="E64" s="10" t="str">
        <x:v>Assert maintenance policy created the contamination</x:v>
      </x:c>
      <x:c r="F64" s="10" t="str">
        <x:v>S08-V</x:v>
      </x:c>
      <x:c r="G64" s="2" t="n">
        <x:v>1</x:v>
      </x:c>
    </x:row>
    <x:row r="65" ht="44" customHeight="1">
      <x:c r="A65" s="2" t="str">
        <x:v>S08.04</x:v>
      </x:c>
      <x:c r="B65" s="10" t="str">
        <x:v>Upstream hypotheses</x:v>
      </x:c>
      <x:c r="C65" s="10" t="str">
        <x:v>Expand actual block absence into competing procedure, requirement or execution explanations</x:v>
      </x:c>
      <x:c r="D65" s="10" t="str">
        <x:v>D04.S03; D05.S02</x:v>
      </x:c>
      <x:c r="E65" s="10" t="str">
        <x:v>Treat absent block as the final organizational root cause</x:v>
      </x:c>
      <x:c r="F65" s="10" t="str">
        <x:v>S08-B</x:v>
      </x:c>
      <x:c r="G65" s="2" t="n">
        <x:v>1</x:v>
      </x:c>
    </x:row>
    <x:row r="66" ht="44" customHeight="1">
      <x:c r="A66" s="2" t="str">
        <x:v>S08.05</x:v>
      </x:c>
      <x:c r="B66" s="10" t="str">
        <x:v>Upstream hypotheses</x:v>
      </x:c>
      <x:c r="C66" s="10" t="str">
        <x:v>Request relevant procedure approval, hazard review, applicable standards or execution rationale</x:v>
      </x:c>
      <x:c r="D66" s="10" t="str">
        <x:v>D04.S03; D05.S03</x:v>
      </x:c>
      <x:c r="E66" s="10" t="str">
        <x:v>Ask unrelated broad management questions</x:v>
      </x:c>
      <x:c r="F66" s="10" t="str">
        <x:v>S08-B</x:v>
      </x:c>
      <x:c r="G66" s="2" t="n">
        <x:v>1</x:v>
      </x:c>
    </x:row>
    <x:row r="67" ht="44" customHeight="1">
      <x:c r="A67" s="2" t="str">
        <x:v>S08.06</x:v>
      </x:c>
      <x:c r="B67" s="10" t="str">
        <x:v>Upstream hypotheses</x:v>
      </x:c>
      <x:c r="C67" s="10" t="str">
        <x:v>Keep deliberate noncompliance, training and budget origins conditional</x:v>
      </x:c>
      <x:c r="D67" s="10" t="str">
        <x:v>D05.S03; D11.S03</x:v>
      </x:c>
      <x:c r="E67" s="10" t="str">
        <x:v>Confirm human intent or organizational reasons without evidence</x:v>
      </x:c>
      <x:c r="F67" s="10" t="str">
        <x:v>S08-B</x:v>
      </x:c>
      <x:c r="G67" s="2" t="n">
        <x:v>1</x:v>
      </x:c>
    </x:row>
    <x:row r="68" ht="44" customHeight="1">
      <x:c r="A68" s="2" t="str">
        <x:v>S08.07</x:v>
      </x:c>
      <x:c r="B68" s="10" t="str">
        <x:v>Upstream hypotheses</x:v>
      </x:c>
      <x:c r="C68" s="10" t="str">
        <x:v>Investigate contact origins through maintenance configuration versus prior positioning/handling</x:v>
      </x:c>
      <x:c r="D68" s="10" t="str">
        <x:v>D03C.S02; D05.S02; D07.S04</x:v>
      </x:c>
      <x:c r="E68" s="10" t="str">
        <x:v>Assume no stop alone explains precisely how contact arose</x:v>
      </x:c>
      <x:c r="F68" s="10" t="str">
        <x:v>S08-C</x:v>
      </x:c>
      <x:c r="G68" s="2" t="n">
        <x:v>1</x:v>
      </x:c>
    </x:row>
    <x:row r="69" ht="44" customHeight="1">
      <x:c r="A69" s="2" t="str">
        <x:v>S08.08</x:v>
      </x:c>
      <x:c r="B69" s="10" t="str">
        <x:v>Upstream hypotheses</x:v>
      </x:c>
      <x:c r="C69" s="10" t="str">
        <x:v>Seek earlier positioning/configuration evidence without re-requesting occluded incident keeper motion</x:v>
      </x:c>
      <x:c r="D69" s="10" t="str">
        <x:v>D05.S01; D07.S03; D07.S04</x:v>
      </x:c>
      <x:c r="E69" s="10" t="str">
        <x:v>Recycle a known unavailable keeper view as the only contact-origin route</x:v>
      </x:c>
      <x:c r="F69" s="10" t="str">
        <x:v>S08-C</x:v>
      </x:c>
      <x:c r="G69" s="2" t="n">
        <x:v>1</x:v>
      </x:c>
    </x:row>
    <x:row r="70" ht="44" customHeight="1">
      <x:c r="A70" s="2" t="str">
        <x:v>S09.01</x:v>
      </x:c>
      <x:c r="B70" s="10" t="str">
        <x:v>Origin and availability evidence</x:v>
      </x:c>
      <x:c r="C70" s="10" t="str">
        <x:v>Identify the retained maintenance practice as no scheduled V17 seat-leak inspection and replacement on reported defect</x:v>
      </x:c>
      <x:c r="D70" s="10" t="str">
        <x:v>D11.S01</x:v>
      </x:c>
      <x:c r="E70" s="10" t="str">
        <x:v>Treat V18/V19 replacements as V17 maintenance</x:v>
      </x:c>
      <x:c r="F70" s="10" t="str">
        <x:v>S09-V</x:v>
      </x:c>
      <x:c r="G70" s="2" t="n">
        <x:v>1</x:v>
      </x:c>
    </x:row>
    <x:row r="71" ht="44" customHeight="1">
      <x:c r="A71" s="2" t="str">
        <x:v>S09.02</x:v>
      </x:c>
      <x:c r="B71" s="10" t="str">
        <x:v>Origin and availability evidence</x:v>
      </x:c>
      <x:c r="C71" s="10" t="str">
        <x:v>Keep detectability and physical contamination causation unestablished by that practice</x:v>
      </x:c>
      <x:c r="D71" s="10" t="str">
        <x:v>D11.S02</x:v>
      </x:c>
      <x:c r="E71" s="10" t="str">
        <x:v>Infer the particular defect would necessarily have been found</x:v>
      </x:c>
      <x:c r="F71" s="10" t="str">
        <x:v>S09-V</x:v>
      </x:c>
      <x:c r="G71" s="2" t="n">
        <x:v>1</x:v>
      </x:c>
    </x:row>
    <x:row r="72" ht="44" customHeight="1">
      <x:c r="A72" s="2" t="str">
        <x:v>S09.03</x:v>
      </x:c>
      <x:c r="B72" s="10" t="str">
        <x:v>Origin and availability evidence</x:v>
      </x:c>
      <x:c r="C72" s="10" t="str">
        <x:v>Keep leakage/contamination onset undated</x:v>
      </x:c>
      <x:c r="D72" s="10" t="str">
        <x:v>D11.S03; D12.S02</x:v>
      </x:c>
      <x:c r="E72" s="10" t="str">
        <x:v>Assign a pre-incident contamination age or onset</x:v>
      </x:c>
      <x:c r="F72" s="10" t="str">
        <x:v>S09-V</x:v>
      </x:c>
      <x:c r="G72" s="2" t="n">
        <x:v>1</x:v>
      </x:c>
    </x:row>
    <x:row r="73" ht="44" customHeight="1">
      <x:c r="A73" s="2" t="str">
        <x:v>S09.04</x:v>
      </x:c>
      <x:c r="B73" s="10" t="str">
        <x:v>Origin and availability evidence</x:v>
      </x:c>
      <x:c r="C73" s="10" t="str">
        <x:v>Separate delivered history from unresolved origin evidence in request coverage</x:v>
      </x:c>
      <x:c r="D73" s="10" t="str">
        <x:v>D09.S03; D11.S01; D11.S03</x:v>
      </x:c>
      <x:c r="E73" s="10" t="str">
        <x:v>Call the entire valve-origin request answered or wholly unanswered</x:v>
      </x:c>
      <x:c r="F73" s="10" t="str">
        <x:v>S09-V</x:v>
      </x:c>
      <x:c r="G73" s="2" t="n">
        <x:v>1</x:v>
      </x:c>
    </x:row>
    <x:row r="74" ht="44" customHeight="1">
      <x:c r="A74" s="2" t="str">
        <x:v>S09.05</x:v>
      </x:c>
      <x:c r="B74" s="10" t="str">
        <x:v>Origin and availability evidence</x:v>
      </x:c>
      <x:c r="C74" s="10" t="str">
        <x:v>Mark retained incident offset/dynamic-envelope acquisition as explicitly unavailable</x:v>
      </x:c>
      <x:c r="D74" s="10" t="str">
        <x:v>D12.S02</x:v>
      </x:c>
      <x:c r="E74" s="10" t="str">
        <x:v>Treat explicit unavailability as only an unperformed search</x:v>
      </x:c>
      <x:c r="F74" s="10" t="str">
        <x:v>S09-K</x:v>
      </x:c>
      <x:c r="G74" s="2" t="n">
        <x:v>1</x:v>
      </x:c>
    </x:row>
    <x:row r="75" ht="44" customHeight="1">
      <x:c r="A75" s="2" t="str">
        <x:v>S09.06</x:v>
      </x:c>
      <x:c r="B75" s="10" t="str">
        <x:v>Origin and availability evidence</x:v>
      </x:c>
      <x:c r="C75" s="10" t="str">
        <x:v>Keep missing keeper evidence distinct from refuting its physical mechanism</x:v>
      </x:c>
      <x:c r="D75" s="10" t="str">
        <x:v>D12.S03</x:v>
      </x:c>
      <x:c r="E75" s="10" t="str">
        <x:v>Refute keeper bypass because the requested record is unavailable</x:v>
      </x:c>
      <x:c r="F75" s="10" t="str">
        <x:v>S09-K</x:v>
      </x:c>
      <x:c r="G75" s="2" t="n">
        <x:v>1</x:v>
      </x:c>
    </x:row>
    <x:row r="76" ht="44" customHeight="1">
      <x:c r="A76" s="2" t="str">
        <x:v>S09.07</x:v>
      </x:c>
      <x:c r="B76" s="10" t="str">
        <x:v>Origin and availability evidence</x:v>
      </x:c>
      <x:c r="C76" s="10" t="str">
        <x:v>Specify a new valid route: validated envelope plus independently bounded incident offset</x:v>
      </x:c>
      <x:c r="D76" s="10" t="str">
        <x:v>D10.S04; D12.S03</x:v>
      </x:c>
      <x:c r="E76" s="10" t="str">
        <x:v>Reopen from another centered seated measurement alone</x:v>
      </x:c>
      <x:c r="F76" s="10" t="str">
        <x:v>S09-K</x:v>
      </x:c>
      <x:c r="G76" s="2" t="n">
        <x:v>1</x:v>
      </x:c>
    </x:row>
    <x:row r="77" ht="44" customHeight="1">
      <x:c r="A77" s="2" t="str">
        <x:v>S09.08</x:v>
      </x:c>
      <x:c r="B77" s="10" t="str">
        <x:v>Origin and availability evidence</x:v>
      </x:c>
      <x:c r="C77" s="10" t="str">
        <x:v>Keep other supported branches available while this acquisition route is blocked</x:v>
      </x:c>
      <x:c r="D77" s="10" t="str">
        <x:v>D12.S03; D07.S02; D08.S02</x:v>
      </x:c>
      <x:c r="E77" s="10" t="str">
        <x:v>Stop or withdraw the entire investigation because one record is unavailable</x:v>
      </x:c>
      <x:c r="F77" s="10" t="str">
        <x:v>S09-K</x:v>
      </x:c>
      <x:c r="G77" s="2" t="n">
        <x:v>1</x:v>
      </x:c>
    </x:row>
    <x:row r="78" ht="44" customHeight="1">
      <x:c r="A78" s="2" t="str">
        <x:v>S10.01</x:v>
      </x:c>
      <x:c r="B78" s="10" t="str">
        <x:v>Boundaries and scoped negatives</x:v>
      </x:c>
      <x:c r="C78" s="10" t="str">
        <x:v>Use current revision C for the incident and limit superseded A to its normal-rolling configuration</x:v>
      </x:c>
      <x:c r="D78" s="10" t="str">
        <x:v>D03A.S01; D03C.S01</x:v>
      </x:c>
      <x:c r="E78" s="10" t="str">
        <x:v>Import the backup-roll stop from the superseded normal arrangement</x:v>
      </x:c>
      <x:c r="F78" s="10" t="str">
        <x:v>S10-A</x:v>
      </x:c>
      <x:c r="G78" s="2" t="n">
        <x:v>1</x:v>
      </x:c>
    </x:row>
    <x:row r="79" ht="44" customHeight="1">
      <x:c r="A79" s="2" t="str">
        <x:v>S10.02</x:v>
      </x:c>
      <x:c r="B79" s="10" t="str">
        <x:v>Boundaries and scoped negatives</x:v>
      </x:c>
      <x:c r="C79" s="10" t="str">
        <x:v>Recognize centered 8 +/- 1 mm overlap excludes simple rigid centered seated passage only</x:v>
      </x:c>
      <x:c r="D79" s="10" t="str">
        <x:v>D10.S02</x:v>
      </x:c>
      <x:c r="E79" s="10" t="str">
        <x:v>Use seated overlap to rule out all off-center dynamic release</x:v>
      </x:c>
      <x:c r="F79" s="10" t="str">
        <x:v>S10-A</x:v>
      </x:c>
      <x:c r="G79" s="2" t="n">
        <x:v>1</x:v>
      </x:c>
    </x:row>
    <x:row r="80" ht="44" customHeight="1">
      <x:c r="A80" s="2" t="str">
        <x:v>S10.03</x:v>
      </x:c>
      <x:c r="B80" s="10" t="str">
        <x:v>Boundaries and scoped negatives</x:v>
      </x:c>
      <x:c r="C80" s="10" t="str">
        <x:v>Refute gross keeper plate/fastener separation or fracture within recovery-inspection scope</x:v>
      </x:c>
      <x:c r="D80" s="10" t="str">
        <x:v>D14.S01; D14.S03</x:v>
      </x:c>
      <x:c r="E80" s="10" t="str">
        <x:v>Refute every deformation/bypass hypothesis or leave the scoped negative unrecognized</x:v>
      </x:c>
      <x:c r="F80" s="10" t="str">
        <x:v>S10-A</x:v>
      </x:c>
      <x:c r="G80" s="2" t="n">
        <x:v>1</x:v>
      </x:c>
    </x:row>
    <x:row r="81" ht="44" customHeight="1">
      <x:c r="A81" s="2" t="str">
        <x:v>S10.04</x:v>
      </x:c>
      <x:c r="B81" s="10" t="str">
        <x:v>Boundaries and scoped negatives</x:v>
      </x:c>
      <x:c r="C81" s="10" t="str">
        <x:v>Keep crane/load-contact refutation limited to the covered time and envelope</x:v>
      </x:c>
      <x:c r="D81" s="10" t="str">
        <x:v>D07.S04</x:v>
      </x:c>
      <x:c r="E81" s="10" t="str">
        <x:v>Exclude earlier handling or every possible external contact</x:v>
      </x:c>
      <x:c r="F81" s="10" t="str">
        <x:v>S10-A</x:v>
      </x:c>
      <x:c r="G81" s="2" t="n">
        <x:v>1</x:v>
      </x:c>
    </x:row>
    <x:row r="82" ht="44" customHeight="1">
      <x:c r="A82" s="2" t="str">
        <x:v>S10.05</x:v>
      </x:c>
      <x:c r="B82" s="10" t="str">
        <x:v>Boundaries and scoped negatives</x:v>
      </x:c>
      <x:c r="C82" s="10" t="str">
        <x:v>Use later V17 bench leakage as compatibility evidence with unknown defect timing</x:v>
      </x:c>
      <x:c r="D82" s="10" t="str">
        <x:v>D09.S02; D09.S03</x:v>
      </x:c>
      <x:c r="E82" s="10" t="str">
        <x:v>Back-date the later rate/contamination automatically</x:v>
      </x:c>
      <x:c r="F82" s="10" t="str">
        <x:v>S10-A</x:v>
      </x:c>
      <x:c r="G82" s="2" t="n">
        <x:v>1</x:v>
      </x:c>
    </x:row>
    <x:row r="83" ht="44" customHeight="1">
      <x:c r="A83" s="2" t="str">
        <x:v>S10.06</x:v>
      </x:c>
      <x:c r="B83" s="10" t="str">
        <x:v>Boundaries and scoped negatives</x:v>
      </x:c>
      <x:c r="C83" s="10" t="str">
        <x:v>Keep D13 actions as identified proposals with no demonstrated implementation/effectiveness</x:v>
      </x:c>
      <x:c r="D83" s="10" t="str">
        <x:v>D13.S01; D13.S02</x:v>
      </x:c>
      <x:c r="E83" s="10" t="str">
        <x:v>Treat a proposed modification as a completed validated control</x:v>
      </x:c>
      <x:c r="F83" s="10" t="str">
        <x:v>S10-A</x:v>
      </x:c>
      <x:c r="G83" s="2" t="n">
        <x:v>1</x:v>
      </x:c>
    </x:row>
    <x:row r="84" ht="44" customHeight="1">
      <x:c r="A84" s="2" t="str">
        <x:v>S10.07</x:v>
      </x:c>
      <x:c r="B84" s="10" t="str">
        <x:v>Boundaries and scoped negatives</x:v>
      </x:c>
      <x:c r="C84" s="10" t="str">
        <x:v>Distinguish observed physical conditions from why the procedure/design omitted controls</x:v>
      </x:c>
      <x:c r="D84" s="10" t="str">
        <x:v>D04.S03; D03C.S02; D05.S03</x:v>
      </x:c>
      <x:c r="E84" s="10" t="str">
        <x:v>Turn an unanswered why-question into an established origin</x:v>
      </x:c>
      <x:c r="F84" s="10" t="str">
        <x:v>S10-A</x:v>
      </x:c>
      <x:c r="G84" s="2" t="n">
        <x:v>1</x:v>
      </x:c>
    </x:row>
    <x:row r="85" ht="44" customHeight="1">
      <x:c r="A85" s="2" t="str">
        <x:v>S10.08</x:v>
      </x:c>
      <x:c r="B85" s="10" t="str">
        <x:v>Boundaries and scoped negatives</x:v>
      </x:c>
      <x:c r="C85" s="10" t="str">
        <x:v>Treat unavailable analysis/measurements as knowledge limits rather than physical causes</x:v>
      </x:c>
      <x:c r="D85" s="10" t="str">
        <x:v>D03C.S04; D12.S03</x:v>
      </x:c>
      <x:c r="E85" s="10" t="str">
        <x:v>Put missing documentation itself on the physical causal chain</x:v>
      </x:c>
      <x:c r="F85" s="10" t="str">
        <x:v>S10-A</x:v>
      </x:c>
      <x:c r="G85" s="2" t="n">
        <x:v>1</x:v>
      </x:c>
    </x:row>
    <x:row r="86" ht="44" customHeight="1">
      <x:c r="A86" s="2" t="str">
        <x:v>S11.01</x:v>
      </x:c>
      <x:c r="B86" s="10" t="str">
        <x:v>Requests and stopping review</x:v>
      </x:c>
      <x:c r="C86" s="10" t="str">
        <x:v>Close the motion request within the delivered vertical-motion/release scope</x:v>
      </x:c>
      <x:c r="D86" s="10" t="str">
        <x:v>D07.S01; D07.S02; D07.S03</x:v>
      </x:c>
      <x:c r="E86" s="10" t="str">
        <x:v>Continue asking for those fulfilled measurements</x:v>
      </x:c>
      <x:c r="F86" s="10" t="str">
        <x:v>S11-A</x:v>
      </x:c>
      <x:c r="G86" s="2" t="n">
        <x:v>1</x:v>
      </x:c>
    </x:row>
    <x:row r="87" ht="44" customHeight="1">
      <x:c r="A87" s="2" t="str">
        <x:v>S11.02</x:v>
      </x:c>
      <x:c r="B87" s="10" t="str">
        <x:v>Requests and stopping review</x:v>
      </x:c>
      <x:c r="C87" s="10" t="str">
        <x:v>Close hydraulic acquisition within the delivered incident-flow/boundary scope</x:v>
      </x:c>
      <x:c r="D87" s="10" t="str">
        <x:v>D08.S01; D08.S02; D08.S03</x:v>
      </x:c>
      <x:c r="E87" s="10" t="str">
        <x:v>Leave the supplied incident flow unacknowledged</x:v>
      </x:c>
      <x:c r="F87" s="10" t="str">
        <x:v>S11-A</x:v>
      </x:c>
      <x:c r="G87" s="2" t="n">
        <x:v>1</x:v>
      </x:c>
    </x:row>
    <x:row r="88" ht="44" customHeight="1">
      <x:c r="A88" s="2" t="str">
        <x:v>S11.03</x:v>
      </x:c>
      <x:c r="B88" s="10" t="str">
        <x:v>Requests and stopping review</x:v>
      </x:c>
      <x:c r="C88" s="10" t="str">
        <x:v>Keep valve-origin timing explicitly unresolved or blocked within its unavailable route</x:v>
      </x:c>
      <x:c r="D88" s="10" t="str">
        <x:v>D09.S03; D11.S03; D12.S02</x:v>
      </x:c>
      <x:c r="E88" s="10" t="str">
        <x:v>Close origin timing as established</x:v>
      </x:c>
      <x:c r="F88" s="10" t="str">
        <x:v>S11-A</x:v>
      </x:c>
      <x:c r="G88" s="2" t="n">
        <x:v>1</x:v>
      </x:c>
    </x:row>
    <x:row r="89" ht="44" customHeight="1">
      <x:c r="A89" s="2" t="str">
        <x:v>S11.04</x:v>
      </x:c>
      <x:c r="B89" s="10" t="str">
        <x:v>Requests and stopping review</x:v>
      </x:c>
      <x:c r="C89" s="10" t="str">
        <x:v>Keep the unavailable keeper acquisition route visibly separate from open physical hypotheses</x:v>
      </x:c>
      <x:c r="D89" s="10" t="str">
        <x:v>D10.S03; D12.S02</x:v>
      </x:c>
      <x:c r="E89" s="10" t="str">
        <x:v>Label all keeper candidates refuted or hide the blocked route</x:v>
      </x:c>
      <x:c r="F89" s="10" t="str">
        <x:v>S11-A</x:v>
      </x:c>
      <x:c r="G89" s="2" t="n">
        <x:v>1</x:v>
      </x:c>
    </x:row>
    <x:row r="90" ht="44" customHeight="1">
      <x:c r="A90" s="2" t="str">
        <x:v>S11.05</x:v>
      </x:c>
      <x:c r="B90" s="10" t="str">
        <x:v>Requests and stopping review</x:v>
      </x:c>
      <x:c r="C90" s="10" t="str">
        <x:v>Reuse equivalent requests rather than repeat unchanged completed acquisition</x:v>
      </x:c>
      <x:c r="D90" s="10" t="str">
        <x:v>harness:lead-contract; D12.S02</x:v>
      </x:c>
      <x:c r="E90" s="10" t="str">
        <x:v>Make duplicate requests without changed evidence or scope</x:v>
      </x:c>
      <x:c r="F90" s="10" t="str">
        <x:v>S11-A</x:v>
      </x:c>
      <x:c r="G90" s="2" t="n">
        <x:v>1</x:v>
      </x:c>
    </x:row>
    <x:row r="91" ht="44" customHeight="1">
      <x:c r="A91" s="2" t="str">
        <x:v>S11.06</x:v>
      </x:c>
      <x:c r="B91" s="10" t="str">
        <x:v>Requests and stopping review</x:v>
      </x:c>
      <x:c r="C91" s="10" t="str">
        <x:v>Account for upstream origins of established valve, no-block and contact conditions</x:v>
      </x:c>
      <x:c r="D91" s="10" t="str">
        <x:v>D08.S04; D04.S03; D05.S02</x:v>
      </x:c>
      <x:c r="E91" s="10" t="str">
        <x:v>Stop solely because immediate physical conditions are known</x:v>
      </x:c>
      <x:c r="F91" s="10" t="str">
        <x:v>S11-A</x:v>
      </x:c>
      <x:c r="G91" s="2" t="n">
        <x:v>1</x:v>
      </x:c>
    </x:row>
    <x:row r="92" ht="44" customHeight="1">
      <x:c r="A92" s="2" t="str">
        <x:v>S11.07</x:v>
      </x:c>
      <x:c r="B92" s="10" t="str">
        <x:v>Requests and stopping review</x:v>
      </x:c>
      <x:c r="C92" s="10" t="str">
        <x:v>Preserve useful independent work while a different branch waits</x:v>
      </x:c>
      <x:c r="D92" s="10" t="str">
        <x:v>harness:lead-contract; D12.S03</x:v>
      </x:c>
      <x:c r="E92" s="10" t="str">
        <x:v>Make a missing keeper record a prerequisite for all upstream work</x:v>
      </x:c>
      <x:c r="F92" s="10" t="str">
        <x:v>S11-A</x:v>
      </x:c>
      <x:c r="G92" s="2" t="n">
        <x:v>1</x:v>
      </x:c>
    </x:row>
    <x:row r="93" ht="44" customHeight="1">
      <x:c r="A93" s="2" t="str">
        <x:v>S11.08</x:v>
      </x:c>
      <x:c r="B93" s="10" t="str">
        <x:v>Requests and stopping review</x:v>
      </x:c>
      <x:c r="C93" s="10" t="str">
        <x:v>Declare partial/evidence-boundary status with concrete reopening conditions</x:v>
      </x:c>
      <x:c r="D93" s="10" t="str">
        <x:v>D12.S02; D12.S03</x:v>
      </x:c>
      <x:c r="E93" s="10" t="str">
        <x:v>Call a resource pause or missing record exhaustive causal closure</x:v>
      </x:c>
      <x:c r="F93" s="10" t="str">
        <x:v>S11-A</x:v>
      </x:c>
      <x:c r="G93" s="2" t="n">
        <x:v>1</x:v>
      </x:c>
    </x:row>
    <x:row r="94" ht="44" customHeight="1">
      <x:c r="A94" s="2" t="str">
        <x:v>S12.01</x:v>
      </x:c>
      <x:c r="B94" s="10" t="str">
        <x:v>Final retained RCA</x:v>
      </x:c>
      <x:c r="C94" s="10" t="str">
        <x:v>Retain the observed carrier fall as the focal occurrence</x:v>
      </x:c>
      <x:c r="D94" s="10" t="str">
        <x:v>D01.S01; D07.S03</x:v>
      </x:c>
      <x:c r="E94" s="10" t="str">
        <x:v>Lose the focal event in the final state/report</x:v>
      </x:c>
      <x:c r="F94" s="10" t="str">
        <x:v>S12-A</x:v>
      </x:c>
      <x:c r="G94" s="2" t="n">
        <x:v>1</x:v>
      </x:c>
    </x:row>
    <x:row r="95" ht="44" customHeight="1">
      <x:c r="A95" s="2" t="str">
        <x:v>S12.02</x:v>
      </x:c>
      <x:c r="B95" s="10" t="str">
        <x:v>Final retained RCA</x:v>
      </x:c>
      <x:c r="C95" s="10" t="str">
        <x:v>Retain fluid loss plus raised load and absent block as the joint descent explanation</x:v>
      </x:c>
      <x:c r="D95" s="10" t="str">
        <x:v>D02.S02; D05.S02; D08.S02</x:v>
      </x:c>
      <x:c r="E95" s="10" t="str">
        <x:v>Final explanation uses leakage alone as sufficient</x:v>
      </x:c>
      <x:c r="F95" s="10" t="str">
        <x:v>S12-A</x:v>
      </x:c>
      <x:c r="G95" s="2" t="n">
        <x:v>1</x:v>
      </x:c>
    </x:row>
    <x:row r="96" ht="44" customHeight="1">
      <x:c r="A96" s="2" t="str">
        <x:v>S12.03</x:v>
      </x:c>
      <x:c r="B96" s="10" t="str">
        <x:v>Final retained RCA</x:v>
      </x:c>
      <x:c r="C96" s="10" t="str">
        <x:v>Retain both motions/contact holding as the relative-withdrawal explanation</x:v>
      </x:c>
      <x:c r="D96" s="10" t="str">
        <x:v>D02.S04; D07.S02</x:v>
      </x:c>
      <x:c r="E96" s="10" t="str">
        <x:v>Final explanation substitutes absolute yoke motion or an incorrect serial arrow</x:v>
      </x:c>
      <x:c r="F96" s="10" t="str">
        <x:v>S12-A</x:v>
      </x:c>
      <x:c r="G96" s="2" t="n">
        <x:v>1</x:v>
      </x:c>
    </x:row>
    <x:row r="97" ht="44" customHeight="1">
      <x:c r="A97" s="2" t="str">
        <x:v>S12.04</x:v>
      </x:c>
      <x:c r="B97" s="10" t="str">
        <x:v>Final retained RCA</x:v>
      </x:c>
      <x:c r="C97" s="10" t="str">
        <x:v>Retain relative withdrawal beyond 30 mm as the primary seating-loss explanation</x:v>
      </x:c>
      <x:c r="D97" s="10" t="str">
        <x:v>D02.S05; D07.S02</x:v>
      </x:c>
      <x:c r="E97" s="10" t="str">
        <x:v>Lose the threshold relationship in the final artifact</x:v>
      </x:c>
      <x:c r="F97" s="10" t="str">
        <x:v>S12-A</x:v>
      </x:c>
      <x:c r="G97" s="2" t="n">
        <x:v>1</x:v>
      </x:c>
    </x:row>
    <x:row r="98" ht="44" customHeight="1">
      <x:c r="A98" s="2" t="str">
        <x:v>S12.05</x:v>
      </x:c>
      <x:c r="B98" s="10" t="str">
        <x:v>Final retained RCA</x:v>
      </x:c>
      <x:c r="C98" s="10" t="str">
        <x:v>Retain the specific keeper-release mechanism as unresolved</x:v>
      </x:c>
      <x:c r="D98" s="10" t="str">
        <x:v>D07.S03; D10.S03</x:v>
      </x:c>
      <x:c r="E98" s="10" t="str">
        <x:v>Force complete keeper-path confirmation</x:v>
      </x:c>
      <x:c r="F98" s="10" t="str">
        <x:v>S12-A</x:v>
      </x:c>
      <x:c r="G98" s="2" t="n">
        <x:v>1</x:v>
      </x:c>
    </x:row>
    <x:row r="99" ht="44" customHeight="1">
      <x:c r="A99" s="2" t="str">
        <x:v>S12.06</x:v>
      </x:c>
      <x:c r="B99" s="10" t="str">
        <x:v>Final retained RCA</x:v>
      </x:c>
      <x:c r="C99" s="10" t="str">
        <x:v>Retain recovered attachment and centered geometry as limits rather than proof of dynamic retention</x:v>
      </x:c>
      <x:c r="D99" s="10" t="str">
        <x:v>D14.S01; D10.S02</x:v>
      </x:c>
      <x:c r="E99" s="10" t="str">
        <x:v>Use intact attachment/centered overlap to rule out dynamic release</x:v>
      </x:c>
      <x:c r="F99" s="10" t="str">
        <x:v>S12-A</x:v>
      </x:c>
      <x:c r="G99" s="2" t="n">
        <x:v>1</x:v>
      </x:c>
    </x:row>
    <x:row r="100" ht="44" customHeight="1">
      <x:c r="A100" s="2" t="str">
        <x:v>S12.07</x:v>
      </x:c>
      <x:c r="B100" s="10" t="str">
        <x:v>Final retained RCA</x:v>
      </x:c>
      <x:c r="C100" s="10" t="str">
        <x:v>Retain the crane/contact negative with its time/envelope limits</x:v>
      </x:c>
      <x:c r="D100" s="10" t="str">
        <x:v>D07.S04</x:v>
      </x:c>
      <x:c r="E100" s="10" t="str">
        <x:v>Drop the scoped negative or expand it beyond coverage</x:v>
      </x:c>
      <x:c r="F100" s="10" t="str">
        <x:v>S12-A</x:v>
      </x:c>
      <x:c r="G100" s="2" t="n">
        <x:v>1</x:v>
      </x:c>
    </x:row>
    <x:row r="101" ht="44" customHeight="1">
      <x:c r="A101" s="2" t="str">
        <x:v>S12.08</x:v>
      </x:c>
      <x:c r="B101" s="10" t="str">
        <x:v>Final retained RCA</x:v>
      </x:c>
      <x:c r="C101" s="10" t="str">
        <x:v>Retain gross keeper fracture/separation refutation within inspection scope</x:v>
      </x:c>
      <x:c r="D101" s="10" t="str">
        <x:v>D14.S01; D14.S03</x:v>
      </x:c>
      <x:c r="E101" s="10" t="str">
        <x:v>Substitute initial beam/yoke no-fracture reporting for the keeper finding</x:v>
      </x:c>
      <x:c r="F101" s="10" t="str">
        <x:v>S12-A</x:v>
      </x:c>
      <x:c r="G101" s="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5d8dac7725f427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2" hidden="0" customWidth="1"/>
    <x:col min="4" max="4" width="8" hidden="0" customWidth="1"/>
    <x:col min="5" max="5" width="22" hidden="0" customWidth="1"/>
    <x:col min="6" max="6" width="20" hidden="0" customWidth="1"/>
    <x:col min="7" max="7" width="34" hidden="0" customWidth="1"/>
    <x:col min="8" max="8" width="65" hidden="0" customWidth="1"/>
    <x:col min="9" max="9" width="17" hidden="0" customWidth="1"/>
    <x:col min="10" max="10" width="19" hidden="0" customWidth="1"/>
    <x:col min="11" max="11" width="16" hidden="0" customWidth="1"/>
    <x:col min="12" max="12" width="18" hidden="0" customWidth="1"/>
    <x:col min="13" max="13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R3 scoring entries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Enter outcome, exposure, reference, rationale, contradiction and failure origin. Blank means unscored.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6" customHeight="1">
      <x:c r="A5" s="7" t="str">
        <x:v>Criterion</x:v>
      </x:c>
      <x:c r="B5" s="7" t="str">
        <x:v>Stage</x:v>
      </x:c>
      <x:c r="C5" s="7" t="str">
        <x:v>Arm</x:v>
      </x:c>
      <x:c r="D5" s="7" t="str">
        <x:v>Run</x:v>
      </x:c>
      <x:c r="E5" s="7" t="str">
        <x:v>Outcome</x:v>
      </x:c>
      <x:c r="F5" s="7" t="str">
        <x:v>Exposure</x:v>
      </x:c>
      <x:c r="G5" s="7" t="str">
        <x:v>Output reference</x:v>
      </x:c>
      <x:c r="H5" s="7" t="str">
        <x:v>Excerpt or absence reason</x:v>
      </x:c>
      <x:c r="I5" s="7" t="str">
        <x:v>Contradiction</x:v>
      </x:c>
      <x:c r="J5" s="7" t="str">
        <x:v>Failure origin</x:v>
      </x:c>
      <x:c r="K5" s="7" t="str">
        <x:v>Presence point</x:v>
      </x:c>
      <x:c r="L5" s="7" t="str">
        <x:v>Consistent point</x:v>
      </x:c>
      <x:c r="M5" s="7" t="str">
        <x:v>Reviewed flag</x:v>
      </x:c>
    </x:row>
    <x:row r="6" ht="24" customHeight="1">
      <x:c r="A6" s="2" t="str">
        <x:v>S01.01</x:v>
      </x:c>
      <x:c r="B6" s="2" t="str">
        <x:v>S01</x:v>
      </x:c>
      <x:c r="C6" s="2" t="str">
        <x:v>gpt_clean</x:v>
      </x:c>
      <x:c r="D6" s="2" t="n">
        <x:v>1</x:v>
      </x:c>
      <x:c r="E6" s="8"/>
      <x:c r="F6" s="8"/>
      <x:c r="G6" s="9"/>
      <x:c r="H6" s="9"/>
      <x:c r="I6" s="8"/>
      <x:c r="J6" s="8"/>
      <x:c r="K6" s="2" t="str">
        <x:f>IF(OR(E6="",F6="",G6="",H6="",I6="",J6=""),"",IF(E6="Harness blocked","BLOCKED",IF(AND(E6="Present",F6="Supplied"),1,IF(OR(E6="Missing",E6="Not reached"),0,"CHECK"))))</x:f>
      </x:c>
      <x:c r="L6" s="2" t="str">
        <x:f>IF(ISNUMBER(K6),IF(AND(K6=1,I6="No"),1,0),K6)</x:f>
      </x:c>
      <x:c r="M6" s="2" t="n">
        <x:f>IF(ISNUMBER(K6),1,0)</x:f>
        <x:v>0</x:v>
      </x:c>
    </x:row>
    <x:row r="7" ht="24" customHeight="1">
      <x:c r="A7" s="2" t="str">
        <x:v>S01.02</x:v>
      </x:c>
      <x:c r="B7" s="2" t="str">
        <x:v>S01</x:v>
      </x:c>
      <x:c r="C7" s="2" t="str">
        <x:v>gpt_clean</x:v>
      </x:c>
      <x:c r="D7" s="2" t="n">
        <x:v>1</x:v>
      </x:c>
      <x:c r="E7" s="8"/>
      <x:c r="F7" s="8"/>
      <x:c r="G7" s="9"/>
      <x:c r="H7" s="9"/>
      <x:c r="I7" s="8"/>
      <x:c r="J7" s="8"/>
      <x:c r="K7" s="2" t="str">
        <x:f>IF(OR(E7="",F7="",G7="",H7="",I7="",J7=""),"",IF(E7="Harness blocked","BLOCKED",IF(AND(E7="Present",F7="Supplied"),1,IF(OR(E7="Missing",E7="Not reached"),0,"CHECK"))))</x:f>
      </x:c>
      <x:c r="L7" s="2" t="str">
        <x:f>IF(ISNUMBER(K7),IF(AND(K7=1,I7="No"),1,0),K7)</x:f>
      </x:c>
      <x:c r="M7" s="2" t="n">
        <x:f>IF(ISNUMBER(K7),1,0)</x:f>
        <x:v>0</x:v>
      </x:c>
    </x:row>
    <x:row r="8" ht="24" customHeight="1">
      <x:c r="A8" s="2" t="str">
        <x:v>S01.03</x:v>
      </x:c>
      <x:c r="B8" s="2" t="str">
        <x:v>S01</x:v>
      </x:c>
      <x:c r="C8" s="2" t="str">
        <x:v>gpt_clean</x:v>
      </x:c>
      <x:c r="D8" s="2" t="n">
        <x:v>1</x:v>
      </x:c>
      <x:c r="E8" s="8"/>
      <x:c r="F8" s="8"/>
      <x:c r="G8" s="9"/>
      <x:c r="H8" s="9"/>
      <x:c r="I8" s="8"/>
      <x:c r="J8" s="8"/>
      <x:c r="K8" s="2" t="str">
        <x:f>IF(OR(E8="",F8="",G8="",H8="",I8="",J8=""),"",IF(E8="Harness blocked","BLOCKED",IF(AND(E8="Present",F8="Supplied"),1,IF(OR(E8="Missing",E8="Not reached"),0,"CHECK"))))</x:f>
      </x:c>
      <x:c r="L8" s="2" t="str">
        <x:f>IF(ISNUMBER(K8),IF(AND(K8=1,I8="No"),1,0),K8)</x:f>
      </x:c>
      <x:c r="M8" s="2" t="n">
        <x:f>IF(ISNUMBER(K8),1,0)</x:f>
        <x:v>0</x:v>
      </x:c>
    </x:row>
    <x:row r="9" ht="24" customHeight="1">
      <x:c r="A9" s="2" t="str">
        <x:v>S01.04</x:v>
      </x:c>
      <x:c r="B9" s="2" t="str">
        <x:v>S01</x:v>
      </x:c>
      <x:c r="C9" s="2" t="str">
        <x:v>gpt_clean</x:v>
      </x:c>
      <x:c r="D9" s="2" t="n">
        <x:v>1</x:v>
      </x:c>
      <x:c r="E9" s="8"/>
      <x:c r="F9" s="8"/>
      <x:c r="G9" s="9"/>
      <x:c r="H9" s="9"/>
      <x:c r="I9" s="8"/>
      <x:c r="J9" s="8"/>
      <x:c r="K9" s="2" t="str">
        <x:f>IF(OR(E9="",F9="",G9="",H9="",I9="",J9=""),"",IF(E9="Harness blocked","BLOCKED",IF(AND(E9="Present",F9="Supplied"),1,IF(OR(E9="Missing",E9="Not reached"),0,"CHECK"))))</x:f>
      </x:c>
      <x:c r="L9" s="2" t="str">
        <x:f>IF(ISNUMBER(K9),IF(AND(K9=1,I9="No"),1,0),K9)</x:f>
      </x:c>
      <x:c r="M9" s="2" t="n">
        <x:f>IF(ISNUMBER(K9),1,0)</x:f>
        <x:v>0</x:v>
      </x:c>
    </x:row>
    <x:row r="10" ht="24" customHeight="1">
      <x:c r="A10" s="2" t="str">
        <x:v>S01.05</x:v>
      </x:c>
      <x:c r="B10" s="2" t="str">
        <x:v>S01</x:v>
      </x:c>
      <x:c r="C10" s="2" t="str">
        <x:v>gpt_clean</x:v>
      </x:c>
      <x:c r="D10" s="2" t="n">
        <x:v>1</x:v>
      </x:c>
      <x:c r="E10" s="8"/>
      <x:c r="F10" s="8"/>
      <x:c r="G10" s="9"/>
      <x:c r="H10" s="9"/>
      <x:c r="I10" s="8"/>
      <x:c r="J10" s="8"/>
      <x:c r="K10" s="2" t="str">
        <x:f>IF(OR(E10="",F10="",G10="",H10="",I10="",J10=""),"",IF(E10="Harness blocked","BLOCKED",IF(AND(E10="Present",F10="Supplied"),1,IF(OR(E10="Missing",E10="Not reached"),0,"CHECK"))))</x:f>
      </x:c>
      <x:c r="L10" s="2" t="str">
        <x:f>IF(ISNUMBER(K10),IF(AND(K10=1,I10="No"),1,0),K10)</x:f>
      </x:c>
      <x:c r="M10" s="2" t="n">
        <x:f>IF(ISNUMBER(K10),1,0)</x:f>
        <x:v>0</x:v>
      </x:c>
    </x:row>
    <x:row r="11" ht="24" customHeight="1">
      <x:c r="A11" s="2" t="str">
        <x:v>S01.06</x:v>
      </x:c>
      <x:c r="B11" s="2" t="str">
        <x:v>S01</x:v>
      </x:c>
      <x:c r="C11" s="2" t="str">
        <x:v>gpt_clean</x:v>
      </x:c>
      <x:c r="D11" s="2" t="n">
        <x:v>1</x:v>
      </x:c>
      <x:c r="E11" s="8"/>
      <x:c r="F11" s="8"/>
      <x:c r="G11" s="9"/>
      <x:c r="H11" s="9"/>
      <x:c r="I11" s="8"/>
      <x:c r="J11" s="8"/>
      <x:c r="K11" s="2" t="str">
        <x:f>IF(OR(E11="",F11="",G11="",H11="",I11="",J11=""),"",IF(E11="Harness blocked","BLOCKED",IF(AND(E11="Present",F11="Supplied"),1,IF(OR(E11="Missing",E11="Not reached"),0,"CHECK"))))</x:f>
      </x:c>
      <x:c r="L11" s="2" t="str">
        <x:f>IF(ISNUMBER(K11),IF(AND(K11=1,I11="No"),1,0),K11)</x:f>
      </x:c>
      <x:c r="M11" s="2" t="n">
        <x:f>IF(ISNUMBER(K11),1,0)</x:f>
        <x:v>0</x:v>
      </x:c>
    </x:row>
    <x:row r="12" ht="24" customHeight="1">
      <x:c r="A12" s="2" t="str">
        <x:v>S01.07</x:v>
      </x:c>
      <x:c r="B12" s="2" t="str">
        <x:v>S01</x:v>
      </x:c>
      <x:c r="C12" s="2" t="str">
        <x:v>gpt_clean</x:v>
      </x:c>
      <x:c r="D12" s="2" t="n">
        <x:v>1</x:v>
      </x:c>
      <x:c r="E12" s="8"/>
      <x:c r="F12" s="8"/>
      <x:c r="G12" s="9"/>
      <x:c r="H12" s="9"/>
      <x:c r="I12" s="8"/>
      <x:c r="J12" s="8"/>
      <x:c r="K12" s="2" t="str">
        <x:f>IF(OR(E12="",F12="",G12="",H12="",I12="",J12=""),"",IF(E12="Harness blocked","BLOCKED",IF(AND(E12="Present",F12="Supplied"),1,IF(OR(E12="Missing",E12="Not reached"),0,"CHECK"))))</x:f>
      </x:c>
      <x:c r="L12" s="2" t="str">
        <x:f>IF(ISNUMBER(K12),IF(AND(K12=1,I12="No"),1,0),K12)</x:f>
      </x:c>
      <x:c r="M12" s="2" t="n">
        <x:f>IF(ISNUMBER(K12),1,0)</x:f>
        <x:v>0</x:v>
      </x:c>
    </x:row>
    <x:row r="13" ht="24" customHeight="1">
      <x:c r="A13" s="2" t="str">
        <x:v>S01.08</x:v>
      </x:c>
      <x:c r="B13" s="2" t="str">
        <x:v>S01</x:v>
      </x:c>
      <x:c r="C13" s="2" t="str">
        <x:v>gpt_clean</x:v>
      </x:c>
      <x:c r="D13" s="2" t="n">
        <x:v>1</x:v>
      </x:c>
      <x:c r="E13" s="8"/>
      <x:c r="F13" s="8"/>
      <x:c r="G13" s="9"/>
      <x:c r="H13" s="9"/>
      <x:c r="I13" s="8"/>
      <x:c r="J13" s="8"/>
      <x:c r="K13" s="2" t="str">
        <x:f>IF(OR(E13="",F13="",G13="",H13="",I13="",J13=""),"",IF(E13="Harness blocked","BLOCKED",IF(AND(E13="Present",F13="Supplied"),1,IF(OR(E13="Missing",E13="Not reached"),0,"CHECK"))))</x:f>
      </x:c>
      <x:c r="L13" s="2" t="str">
        <x:f>IF(ISNUMBER(K13),IF(AND(K13=1,I13="No"),1,0),K13)</x:f>
      </x:c>
      <x:c r="M13" s="2" t="n">
        <x:f>IF(ISNUMBER(K13),1,0)</x:f>
        <x:v>0</x:v>
      </x:c>
    </x:row>
    <x:row r="14" ht="24" customHeight="1">
      <x:c r="A14" s="2" t="str">
        <x:v>S02.01</x:v>
      </x:c>
      <x:c r="B14" s="2" t="str">
        <x:v>S02</x:v>
      </x:c>
      <x:c r="C14" s="2" t="str">
        <x:v>gpt_clean</x:v>
      </x:c>
      <x:c r="D14" s="2" t="n">
        <x:v>1</x:v>
      </x:c>
      <x:c r="E14" s="8"/>
      <x:c r="F14" s="8"/>
      <x:c r="G14" s="9"/>
      <x:c r="H14" s="9"/>
      <x:c r="I14" s="8"/>
      <x:c r="J14" s="8"/>
      <x:c r="K14" s="2" t="str">
        <x:f>IF(OR(E14="",F14="",G14="",H14="",I14="",J14=""),"",IF(E14="Harness blocked","BLOCKED",IF(AND(E14="Present",F14="Supplied"),1,IF(OR(E14="Missing",E14="Not reached"),0,"CHECK"))))</x:f>
      </x:c>
      <x:c r="L14" s="2" t="str">
        <x:f>IF(ISNUMBER(K14),IF(AND(K14=1,I14="No"),1,0),K14)</x:f>
      </x:c>
      <x:c r="M14" s="2" t="n">
        <x:f>IF(ISNUMBER(K14),1,0)</x:f>
        <x:v>0</x:v>
      </x:c>
    </x:row>
    <x:row r="15" ht="24" customHeight="1">
      <x:c r="A15" s="2" t="str">
        <x:v>S02.02</x:v>
      </x:c>
      <x:c r="B15" s="2" t="str">
        <x:v>S02</x:v>
      </x:c>
      <x:c r="C15" s="2" t="str">
        <x:v>gpt_clean</x:v>
      </x:c>
      <x:c r="D15" s="2" t="n">
        <x:v>1</x:v>
      </x:c>
      <x:c r="E15" s="8"/>
      <x:c r="F15" s="8"/>
      <x:c r="G15" s="9"/>
      <x:c r="H15" s="9"/>
      <x:c r="I15" s="8"/>
      <x:c r="J15" s="8"/>
      <x:c r="K15" s="2" t="str">
        <x:f>IF(OR(E15="",F15="",G15="",H15="",I15="",J15=""),"",IF(E15="Harness blocked","BLOCKED",IF(AND(E15="Present",F15="Supplied"),1,IF(OR(E15="Missing",E15="Not reached"),0,"CHECK"))))</x:f>
      </x:c>
      <x:c r="L15" s="2" t="str">
        <x:f>IF(ISNUMBER(K15),IF(AND(K15=1,I15="No"),1,0),K15)</x:f>
      </x:c>
      <x:c r="M15" s="2" t="n">
        <x:f>IF(ISNUMBER(K15),1,0)</x:f>
        <x:v>0</x:v>
      </x:c>
    </x:row>
    <x:row r="16" ht="24" customHeight="1">
      <x:c r="A16" s="2" t="str">
        <x:v>S02.03</x:v>
      </x:c>
      <x:c r="B16" s="2" t="str">
        <x:v>S02</x:v>
      </x:c>
      <x:c r="C16" s="2" t="str">
        <x:v>gpt_clean</x:v>
      </x:c>
      <x:c r="D16" s="2" t="n">
        <x:v>1</x:v>
      </x:c>
      <x:c r="E16" s="8"/>
      <x:c r="F16" s="8"/>
      <x:c r="G16" s="9"/>
      <x:c r="H16" s="9"/>
      <x:c r="I16" s="8"/>
      <x:c r="J16" s="8"/>
      <x:c r="K16" s="2" t="str">
        <x:f>IF(OR(E16="",F16="",G16="",H16="",I16="",J16=""),"",IF(E16="Harness blocked","BLOCKED",IF(AND(E16="Present",F16="Supplied"),1,IF(OR(E16="Missing",E16="Not reached"),0,"CHECK"))))</x:f>
      </x:c>
      <x:c r="L16" s="2" t="str">
        <x:f>IF(ISNUMBER(K16),IF(AND(K16=1,I16="No"),1,0),K16)</x:f>
      </x:c>
      <x:c r="M16" s="2" t="n">
        <x:f>IF(ISNUMBER(K16),1,0)</x:f>
        <x:v>0</x:v>
      </x:c>
    </x:row>
    <x:row r="17" ht="24" customHeight="1">
      <x:c r="A17" s="2" t="str">
        <x:v>S02.04</x:v>
      </x:c>
      <x:c r="B17" s="2" t="str">
        <x:v>S02</x:v>
      </x:c>
      <x:c r="C17" s="2" t="str">
        <x:v>gpt_clean</x:v>
      </x:c>
      <x:c r="D17" s="2" t="n">
        <x:v>1</x:v>
      </x:c>
      <x:c r="E17" s="8"/>
      <x:c r="F17" s="8"/>
      <x:c r="G17" s="9"/>
      <x:c r="H17" s="9"/>
      <x:c r="I17" s="8"/>
      <x:c r="J17" s="8"/>
      <x:c r="K17" s="2" t="str">
        <x:f>IF(OR(E17="",F17="",G17="",H17="",I17="",J17=""),"",IF(E17="Harness blocked","BLOCKED",IF(AND(E17="Present",F17="Supplied"),1,IF(OR(E17="Missing",E17="Not reached"),0,"CHECK"))))</x:f>
      </x:c>
      <x:c r="L17" s="2" t="str">
        <x:f>IF(ISNUMBER(K17),IF(AND(K17=1,I17="No"),1,0),K17)</x:f>
      </x:c>
      <x:c r="M17" s="2" t="n">
        <x:f>IF(ISNUMBER(K17),1,0)</x:f>
        <x:v>0</x:v>
      </x:c>
    </x:row>
    <x:row r="18" ht="24" customHeight="1">
      <x:c r="A18" s="2" t="str">
        <x:v>S02.05</x:v>
      </x:c>
      <x:c r="B18" s="2" t="str">
        <x:v>S02</x:v>
      </x:c>
      <x:c r="C18" s="2" t="str">
        <x:v>gpt_clean</x:v>
      </x:c>
      <x:c r="D18" s="2" t="n">
        <x:v>1</x:v>
      </x:c>
      <x:c r="E18" s="8"/>
      <x:c r="F18" s="8"/>
      <x:c r="G18" s="9"/>
      <x:c r="H18" s="9"/>
      <x:c r="I18" s="8"/>
      <x:c r="J18" s="8"/>
      <x:c r="K18" s="2" t="str">
        <x:f>IF(OR(E18="",F18="",G18="",H18="",I18="",J18=""),"",IF(E18="Harness blocked","BLOCKED",IF(AND(E18="Present",F18="Supplied"),1,IF(OR(E18="Missing",E18="Not reached"),0,"CHECK"))))</x:f>
      </x:c>
      <x:c r="L18" s="2" t="str">
        <x:f>IF(ISNUMBER(K18),IF(AND(K18=1,I18="No"),1,0),K18)</x:f>
      </x:c>
      <x:c r="M18" s="2" t="n">
        <x:f>IF(ISNUMBER(K18),1,0)</x:f>
        <x:v>0</x:v>
      </x:c>
    </x:row>
    <x:row r="19" ht="24" customHeight="1">
      <x:c r="A19" s="2" t="str">
        <x:v>S02.06</x:v>
      </x:c>
      <x:c r="B19" s="2" t="str">
        <x:v>S02</x:v>
      </x:c>
      <x:c r="C19" s="2" t="str">
        <x:v>gpt_clean</x:v>
      </x:c>
      <x:c r="D19" s="2" t="n">
        <x:v>1</x:v>
      </x:c>
      <x:c r="E19" s="8"/>
      <x:c r="F19" s="8"/>
      <x:c r="G19" s="9"/>
      <x:c r="H19" s="9"/>
      <x:c r="I19" s="8"/>
      <x:c r="J19" s="8"/>
      <x:c r="K19" s="2" t="str">
        <x:f>IF(OR(E19="",F19="",G19="",H19="",I19="",J19=""),"",IF(E19="Harness blocked","BLOCKED",IF(AND(E19="Present",F19="Supplied"),1,IF(OR(E19="Missing",E19="Not reached"),0,"CHECK"))))</x:f>
      </x:c>
      <x:c r="L19" s="2" t="str">
        <x:f>IF(ISNUMBER(K19),IF(AND(K19=1,I19="No"),1,0),K19)</x:f>
      </x:c>
      <x:c r="M19" s="2" t="n">
        <x:f>IF(ISNUMBER(K19),1,0)</x:f>
        <x:v>0</x:v>
      </x:c>
    </x:row>
    <x:row r="20" ht="24" customHeight="1">
      <x:c r="A20" s="2" t="str">
        <x:v>S02.07</x:v>
      </x:c>
      <x:c r="B20" s="2" t="str">
        <x:v>S02</x:v>
      </x:c>
      <x:c r="C20" s="2" t="str">
        <x:v>gpt_clean</x:v>
      </x:c>
      <x:c r="D20" s="2" t="n">
        <x:v>1</x:v>
      </x:c>
      <x:c r="E20" s="8"/>
      <x:c r="F20" s="8"/>
      <x:c r="G20" s="9"/>
      <x:c r="H20" s="9"/>
      <x:c r="I20" s="8"/>
      <x:c r="J20" s="8"/>
      <x:c r="K20" s="2" t="str">
        <x:f>IF(OR(E20="",F20="",G20="",H20="",I20="",J20=""),"",IF(E20="Harness blocked","BLOCKED",IF(AND(E20="Present",F20="Supplied"),1,IF(OR(E20="Missing",E20="Not reached"),0,"CHECK"))))</x:f>
      </x:c>
      <x:c r="L20" s="2" t="str">
        <x:f>IF(ISNUMBER(K20),IF(AND(K20=1,I20="No"),1,0),K20)</x:f>
      </x:c>
      <x:c r="M20" s="2" t="n">
        <x:f>IF(ISNUMBER(K20),1,0)</x:f>
        <x:v>0</x:v>
      </x:c>
    </x:row>
    <x:row r="21" ht="24" customHeight="1">
      <x:c r="A21" s="2" t="str">
        <x:v>S02.08</x:v>
      </x:c>
      <x:c r="B21" s="2" t="str">
        <x:v>S02</x:v>
      </x:c>
      <x:c r="C21" s="2" t="str">
        <x:v>gpt_clean</x:v>
      </x:c>
      <x:c r="D21" s="2" t="n">
        <x:v>1</x:v>
      </x:c>
      <x:c r="E21" s="8"/>
      <x:c r="F21" s="8"/>
      <x:c r="G21" s="9"/>
      <x:c r="H21" s="9"/>
      <x:c r="I21" s="8"/>
      <x:c r="J21" s="8"/>
      <x:c r="K21" s="2" t="str">
        <x:f>IF(OR(E21="",F21="",G21="",H21="",I21="",J21=""),"",IF(E21="Harness blocked","BLOCKED",IF(AND(E21="Present",F21="Supplied"),1,IF(OR(E21="Missing",E21="Not reached"),0,"CHECK"))))</x:f>
      </x:c>
      <x:c r="L21" s="2" t="str">
        <x:f>IF(ISNUMBER(K21),IF(AND(K21=1,I21="No"),1,0),K21)</x:f>
      </x:c>
      <x:c r="M21" s="2" t="n">
        <x:f>IF(ISNUMBER(K21),1,0)</x:f>
        <x:v>0</x:v>
      </x:c>
    </x:row>
    <x:row r="22" ht="24" customHeight="1">
      <x:c r="A22" s="2" t="str">
        <x:v>S03.01</x:v>
      </x:c>
      <x:c r="B22" s="2" t="str">
        <x:v>S03</x:v>
      </x:c>
      <x:c r="C22" s="2" t="str">
        <x:v>gpt_clean</x:v>
      </x:c>
      <x:c r="D22" s="2" t="n">
        <x:v>1</x:v>
      </x:c>
      <x:c r="E22" s="8"/>
      <x:c r="F22" s="8"/>
      <x:c r="G22" s="9"/>
      <x:c r="H22" s="9"/>
      <x:c r="I22" s="8"/>
      <x:c r="J22" s="8"/>
      <x:c r="K22" s="2" t="str">
        <x:f>IF(OR(E22="",F22="",G22="",H22="",I22="",J22=""),"",IF(E22="Harness blocked","BLOCKED",IF(AND(E22="Present",F22="Supplied"),1,IF(OR(E22="Missing",E22="Not reached"),0,"CHECK"))))</x:f>
      </x:c>
      <x:c r="L22" s="2" t="str">
        <x:f>IF(ISNUMBER(K22),IF(AND(K22=1,I22="No"),1,0),K22)</x:f>
      </x:c>
      <x:c r="M22" s="2" t="n">
        <x:f>IF(ISNUMBER(K22),1,0)</x:f>
        <x:v>0</x:v>
      </x:c>
    </x:row>
    <x:row r="23" ht="24" customHeight="1">
      <x:c r="A23" s="2" t="str">
        <x:v>S03.02</x:v>
      </x:c>
      <x:c r="B23" s="2" t="str">
        <x:v>S03</x:v>
      </x:c>
      <x:c r="C23" s="2" t="str">
        <x:v>gpt_clean</x:v>
      </x:c>
      <x:c r="D23" s="2" t="n">
        <x:v>1</x:v>
      </x:c>
      <x:c r="E23" s="8"/>
      <x:c r="F23" s="8"/>
      <x:c r="G23" s="9"/>
      <x:c r="H23" s="9"/>
      <x:c r="I23" s="8"/>
      <x:c r="J23" s="8"/>
      <x:c r="K23" s="2" t="str">
        <x:f>IF(OR(E23="",F23="",G23="",H23="",I23="",J23=""),"",IF(E23="Harness blocked","BLOCKED",IF(AND(E23="Present",F23="Supplied"),1,IF(OR(E23="Missing",E23="Not reached"),0,"CHECK"))))</x:f>
      </x:c>
      <x:c r="L23" s="2" t="str">
        <x:f>IF(ISNUMBER(K23),IF(AND(K23=1,I23="No"),1,0),K23)</x:f>
      </x:c>
      <x:c r="M23" s="2" t="n">
        <x:f>IF(ISNUMBER(K23),1,0)</x:f>
        <x:v>0</x:v>
      </x:c>
    </x:row>
    <x:row r="24" ht="24" customHeight="1">
      <x:c r="A24" s="2" t="str">
        <x:v>S03.03</x:v>
      </x:c>
      <x:c r="B24" s="2" t="str">
        <x:v>S03</x:v>
      </x:c>
      <x:c r="C24" s="2" t="str">
        <x:v>gpt_clean</x:v>
      </x:c>
      <x:c r="D24" s="2" t="n">
        <x:v>1</x:v>
      </x:c>
      <x:c r="E24" s="8"/>
      <x:c r="F24" s="8"/>
      <x:c r="G24" s="9"/>
      <x:c r="H24" s="9"/>
      <x:c r="I24" s="8"/>
      <x:c r="J24" s="8"/>
      <x:c r="K24" s="2" t="str">
        <x:f>IF(OR(E24="",F24="",G24="",H24="",I24="",J24=""),"",IF(E24="Harness blocked","BLOCKED",IF(AND(E24="Present",F24="Supplied"),1,IF(OR(E24="Missing",E24="Not reached"),0,"CHECK"))))</x:f>
      </x:c>
      <x:c r="L24" s="2" t="str">
        <x:f>IF(ISNUMBER(K24),IF(AND(K24=1,I24="No"),1,0),K24)</x:f>
      </x:c>
      <x:c r="M24" s="2" t="n">
        <x:f>IF(ISNUMBER(K24),1,0)</x:f>
        <x:v>0</x:v>
      </x:c>
    </x:row>
    <x:row r="25" ht="24" customHeight="1">
      <x:c r="A25" s="2" t="str">
        <x:v>S03.04</x:v>
      </x:c>
      <x:c r="B25" s="2" t="str">
        <x:v>S03</x:v>
      </x:c>
      <x:c r="C25" s="2" t="str">
        <x:v>gpt_clean</x:v>
      </x:c>
      <x:c r="D25" s="2" t="n">
        <x:v>1</x:v>
      </x:c>
      <x:c r="E25" s="8"/>
      <x:c r="F25" s="8"/>
      <x:c r="G25" s="9"/>
      <x:c r="H25" s="9"/>
      <x:c r="I25" s="8"/>
      <x:c r="J25" s="8"/>
      <x:c r="K25" s="2" t="str">
        <x:f>IF(OR(E25="",F25="",G25="",H25="",I25="",J25=""),"",IF(E25="Harness blocked","BLOCKED",IF(AND(E25="Present",F25="Supplied"),1,IF(OR(E25="Missing",E25="Not reached"),0,"CHECK"))))</x:f>
      </x:c>
      <x:c r="L25" s="2" t="str">
        <x:f>IF(ISNUMBER(K25),IF(AND(K25=1,I25="No"),1,0),K25)</x:f>
      </x:c>
      <x:c r="M25" s="2" t="n">
        <x:f>IF(ISNUMBER(K25),1,0)</x:f>
        <x:v>0</x:v>
      </x:c>
    </x:row>
    <x:row r="26" ht="24" customHeight="1">
      <x:c r="A26" s="2" t="str">
        <x:v>S03.05</x:v>
      </x:c>
      <x:c r="B26" s="2" t="str">
        <x:v>S03</x:v>
      </x:c>
      <x:c r="C26" s="2" t="str">
        <x:v>gpt_clean</x:v>
      </x:c>
      <x:c r="D26" s="2" t="n">
        <x:v>1</x:v>
      </x:c>
      <x:c r="E26" s="8"/>
      <x:c r="F26" s="8"/>
      <x:c r="G26" s="9"/>
      <x:c r="H26" s="9"/>
      <x:c r="I26" s="8"/>
      <x:c r="J26" s="8"/>
      <x:c r="K26" s="2" t="str">
        <x:f>IF(OR(E26="",F26="",G26="",H26="",I26="",J26=""),"",IF(E26="Harness blocked","BLOCKED",IF(AND(E26="Present",F26="Supplied"),1,IF(OR(E26="Missing",E26="Not reached"),0,"CHECK"))))</x:f>
      </x:c>
      <x:c r="L26" s="2" t="str">
        <x:f>IF(ISNUMBER(K26),IF(AND(K26=1,I26="No"),1,0),K26)</x:f>
      </x:c>
      <x:c r="M26" s="2" t="n">
        <x:f>IF(ISNUMBER(K26),1,0)</x:f>
        <x:v>0</x:v>
      </x:c>
    </x:row>
    <x:row r="27" ht="24" customHeight="1">
      <x:c r="A27" s="2" t="str">
        <x:v>S03.06</x:v>
      </x:c>
      <x:c r="B27" s="2" t="str">
        <x:v>S03</x:v>
      </x:c>
      <x:c r="C27" s="2" t="str">
        <x:v>gpt_clean</x:v>
      </x:c>
      <x:c r="D27" s="2" t="n">
        <x:v>1</x:v>
      </x:c>
      <x:c r="E27" s="8"/>
      <x:c r="F27" s="8"/>
      <x:c r="G27" s="9"/>
      <x:c r="H27" s="9"/>
      <x:c r="I27" s="8"/>
      <x:c r="J27" s="8"/>
      <x:c r="K27" s="2" t="str">
        <x:f>IF(OR(E27="",F27="",G27="",H27="",I27="",J27=""),"",IF(E27="Harness blocked","BLOCKED",IF(AND(E27="Present",F27="Supplied"),1,IF(OR(E27="Missing",E27="Not reached"),0,"CHECK"))))</x:f>
      </x:c>
      <x:c r="L27" s="2" t="str">
        <x:f>IF(ISNUMBER(K27),IF(AND(K27=1,I27="No"),1,0),K27)</x:f>
      </x:c>
      <x:c r="M27" s="2" t="n">
        <x:f>IF(ISNUMBER(K27),1,0)</x:f>
        <x:v>0</x:v>
      </x:c>
    </x:row>
    <x:row r="28" ht="24" customHeight="1">
      <x:c r="A28" s="2" t="str">
        <x:v>S03.07</x:v>
      </x:c>
      <x:c r="B28" s="2" t="str">
        <x:v>S03</x:v>
      </x:c>
      <x:c r="C28" s="2" t="str">
        <x:v>gpt_clean</x:v>
      </x:c>
      <x:c r="D28" s="2" t="n">
        <x:v>1</x:v>
      </x:c>
      <x:c r="E28" s="8"/>
      <x:c r="F28" s="8"/>
      <x:c r="G28" s="9"/>
      <x:c r="H28" s="9"/>
      <x:c r="I28" s="8"/>
      <x:c r="J28" s="8"/>
      <x:c r="K28" s="2" t="str">
        <x:f>IF(OR(E28="",F28="",G28="",H28="",I28="",J28=""),"",IF(E28="Harness blocked","BLOCKED",IF(AND(E28="Present",F28="Supplied"),1,IF(OR(E28="Missing",E28="Not reached"),0,"CHECK"))))</x:f>
      </x:c>
      <x:c r="L28" s="2" t="str">
        <x:f>IF(ISNUMBER(K28),IF(AND(K28=1,I28="No"),1,0),K28)</x:f>
      </x:c>
      <x:c r="M28" s="2" t="n">
        <x:f>IF(ISNUMBER(K28),1,0)</x:f>
        <x:v>0</x:v>
      </x:c>
    </x:row>
    <x:row r="29" ht="24" customHeight="1">
      <x:c r="A29" s="2" t="str">
        <x:v>S03.08</x:v>
      </x:c>
      <x:c r="B29" s="2" t="str">
        <x:v>S03</x:v>
      </x:c>
      <x:c r="C29" s="2" t="str">
        <x:v>gpt_clean</x:v>
      </x:c>
      <x:c r="D29" s="2" t="n">
        <x:v>1</x:v>
      </x:c>
      <x:c r="E29" s="8"/>
      <x:c r="F29" s="8"/>
      <x:c r="G29" s="9"/>
      <x:c r="H29" s="9"/>
      <x:c r="I29" s="8"/>
      <x:c r="J29" s="8"/>
      <x:c r="K29" s="2" t="str">
        <x:f>IF(OR(E29="",F29="",G29="",H29="",I29="",J29=""),"",IF(E29="Harness blocked","BLOCKED",IF(AND(E29="Present",F29="Supplied"),1,IF(OR(E29="Missing",E29="Not reached"),0,"CHECK"))))</x:f>
      </x:c>
      <x:c r="L29" s="2" t="str">
        <x:f>IF(ISNUMBER(K29),IF(AND(K29=1,I29="No"),1,0),K29)</x:f>
      </x:c>
      <x:c r="M29" s="2" t="n">
        <x:f>IF(ISNUMBER(K29),1,0)</x:f>
        <x:v>0</x:v>
      </x:c>
    </x:row>
    <x:row r="30" ht="24" customHeight="1">
      <x:c r="A30" s="2" t="str">
        <x:v>S04.01</x:v>
      </x:c>
      <x:c r="B30" s="2" t="str">
        <x:v>S04</x:v>
      </x:c>
      <x:c r="C30" s="2" t="str">
        <x:v>gpt_clean</x:v>
      </x:c>
      <x:c r="D30" s="2" t="n">
        <x:v>1</x:v>
      </x:c>
      <x:c r="E30" s="8"/>
      <x:c r="F30" s="8"/>
      <x:c r="G30" s="9"/>
      <x:c r="H30" s="9"/>
      <x:c r="I30" s="8"/>
      <x:c r="J30" s="8"/>
      <x:c r="K30" s="2" t="str">
        <x:f>IF(OR(E30="",F30="",G30="",H30="",I30="",J30=""),"",IF(E30="Harness blocked","BLOCKED",IF(AND(E30="Present",F30="Supplied"),1,IF(OR(E30="Missing",E30="Not reached"),0,"CHECK"))))</x:f>
      </x:c>
      <x:c r="L30" s="2" t="str">
        <x:f>IF(ISNUMBER(K30),IF(AND(K30=1,I30="No"),1,0),K30)</x:f>
      </x:c>
      <x:c r="M30" s="2" t="n">
        <x:f>IF(ISNUMBER(K30),1,0)</x:f>
        <x:v>0</x:v>
      </x:c>
    </x:row>
    <x:row r="31" ht="24" customHeight="1">
      <x:c r="A31" s="2" t="str">
        <x:v>S04.02</x:v>
      </x:c>
      <x:c r="B31" s="2" t="str">
        <x:v>S04</x:v>
      </x:c>
      <x:c r="C31" s="2" t="str">
        <x:v>gpt_clean</x:v>
      </x:c>
      <x:c r="D31" s="2" t="n">
        <x:v>1</x:v>
      </x:c>
      <x:c r="E31" s="8"/>
      <x:c r="F31" s="8"/>
      <x:c r="G31" s="9"/>
      <x:c r="H31" s="9"/>
      <x:c r="I31" s="8"/>
      <x:c r="J31" s="8"/>
      <x:c r="K31" s="2" t="str">
        <x:f>IF(OR(E31="",F31="",G31="",H31="",I31="",J31=""),"",IF(E31="Harness blocked","BLOCKED",IF(AND(E31="Present",F31="Supplied"),1,IF(OR(E31="Missing",E31="Not reached"),0,"CHECK"))))</x:f>
      </x:c>
      <x:c r="L31" s="2" t="str">
        <x:f>IF(ISNUMBER(K31),IF(AND(K31=1,I31="No"),1,0),K31)</x:f>
      </x:c>
      <x:c r="M31" s="2" t="n">
        <x:f>IF(ISNUMBER(K31),1,0)</x:f>
        <x:v>0</x:v>
      </x:c>
    </x:row>
    <x:row r="32" ht="24" customHeight="1">
      <x:c r="A32" s="2" t="str">
        <x:v>S04.03</x:v>
      </x:c>
      <x:c r="B32" s="2" t="str">
        <x:v>S04</x:v>
      </x:c>
      <x:c r="C32" s="2" t="str">
        <x:v>gpt_clean</x:v>
      </x:c>
      <x:c r="D32" s="2" t="n">
        <x:v>1</x:v>
      </x:c>
      <x:c r="E32" s="8"/>
      <x:c r="F32" s="8"/>
      <x:c r="G32" s="9"/>
      <x:c r="H32" s="9"/>
      <x:c r="I32" s="8"/>
      <x:c r="J32" s="8"/>
      <x:c r="K32" s="2" t="str">
        <x:f>IF(OR(E32="",F32="",G32="",H32="",I32="",J32=""),"",IF(E32="Harness blocked","BLOCKED",IF(AND(E32="Present",F32="Supplied"),1,IF(OR(E32="Missing",E32="Not reached"),0,"CHECK"))))</x:f>
      </x:c>
      <x:c r="L32" s="2" t="str">
        <x:f>IF(ISNUMBER(K32),IF(AND(K32=1,I32="No"),1,0),K32)</x:f>
      </x:c>
      <x:c r="M32" s="2" t="n">
        <x:f>IF(ISNUMBER(K32),1,0)</x:f>
        <x:v>0</x:v>
      </x:c>
    </x:row>
    <x:row r="33" ht="24" customHeight="1">
      <x:c r="A33" s="2" t="str">
        <x:v>S04.04</x:v>
      </x:c>
      <x:c r="B33" s="2" t="str">
        <x:v>S04</x:v>
      </x:c>
      <x:c r="C33" s="2" t="str">
        <x:v>gpt_clean</x:v>
      </x:c>
      <x:c r="D33" s="2" t="n">
        <x:v>1</x:v>
      </x:c>
      <x:c r="E33" s="8"/>
      <x:c r="F33" s="8"/>
      <x:c r="G33" s="9"/>
      <x:c r="H33" s="9"/>
      <x:c r="I33" s="8"/>
      <x:c r="J33" s="8"/>
      <x:c r="K33" s="2" t="str">
        <x:f>IF(OR(E33="",F33="",G33="",H33="",I33="",J33=""),"",IF(E33="Harness blocked","BLOCKED",IF(AND(E33="Present",F33="Supplied"),1,IF(OR(E33="Missing",E33="Not reached"),0,"CHECK"))))</x:f>
      </x:c>
      <x:c r="L33" s="2" t="str">
        <x:f>IF(ISNUMBER(K33),IF(AND(K33=1,I33="No"),1,0),K33)</x:f>
      </x:c>
      <x:c r="M33" s="2" t="n">
        <x:f>IF(ISNUMBER(K33),1,0)</x:f>
        <x:v>0</x:v>
      </x:c>
    </x:row>
    <x:row r="34" ht="24" customHeight="1">
      <x:c r="A34" s="2" t="str">
        <x:v>S04.05</x:v>
      </x:c>
      <x:c r="B34" s="2" t="str">
        <x:v>S04</x:v>
      </x:c>
      <x:c r="C34" s="2" t="str">
        <x:v>gpt_clean</x:v>
      </x:c>
      <x:c r="D34" s="2" t="n">
        <x:v>1</x:v>
      </x:c>
      <x:c r="E34" s="8"/>
      <x:c r="F34" s="8"/>
      <x:c r="G34" s="9"/>
      <x:c r="H34" s="9"/>
      <x:c r="I34" s="8"/>
      <x:c r="J34" s="8"/>
      <x:c r="K34" s="2" t="str">
        <x:f>IF(OR(E34="",F34="",G34="",H34="",I34="",J34=""),"",IF(E34="Harness blocked","BLOCKED",IF(AND(E34="Present",F34="Supplied"),1,IF(OR(E34="Missing",E34="Not reached"),0,"CHECK"))))</x:f>
      </x:c>
      <x:c r="L34" s="2" t="str">
        <x:f>IF(ISNUMBER(K34),IF(AND(K34=1,I34="No"),1,0),K34)</x:f>
      </x:c>
      <x:c r="M34" s="2" t="n">
        <x:f>IF(ISNUMBER(K34),1,0)</x:f>
        <x:v>0</x:v>
      </x:c>
    </x:row>
    <x:row r="35" ht="24" customHeight="1">
      <x:c r="A35" s="2" t="str">
        <x:v>S04.06</x:v>
      </x:c>
      <x:c r="B35" s="2" t="str">
        <x:v>S04</x:v>
      </x:c>
      <x:c r="C35" s="2" t="str">
        <x:v>gpt_clean</x:v>
      </x:c>
      <x:c r="D35" s="2" t="n">
        <x:v>1</x:v>
      </x:c>
      <x:c r="E35" s="8"/>
      <x:c r="F35" s="8"/>
      <x:c r="G35" s="9"/>
      <x:c r="H35" s="9"/>
      <x:c r="I35" s="8"/>
      <x:c r="J35" s="8"/>
      <x:c r="K35" s="2" t="str">
        <x:f>IF(OR(E35="",F35="",G35="",H35="",I35="",J35=""),"",IF(E35="Harness blocked","BLOCKED",IF(AND(E35="Present",F35="Supplied"),1,IF(OR(E35="Missing",E35="Not reached"),0,"CHECK"))))</x:f>
      </x:c>
      <x:c r="L35" s="2" t="str">
        <x:f>IF(ISNUMBER(K35),IF(AND(K35=1,I35="No"),1,0),K35)</x:f>
      </x:c>
      <x:c r="M35" s="2" t="n">
        <x:f>IF(ISNUMBER(K35),1,0)</x:f>
        <x:v>0</x:v>
      </x:c>
    </x:row>
    <x:row r="36" ht="24" customHeight="1">
      <x:c r="A36" s="2" t="str">
        <x:v>S04.07</x:v>
      </x:c>
      <x:c r="B36" s="2" t="str">
        <x:v>S04</x:v>
      </x:c>
      <x:c r="C36" s="2" t="str">
        <x:v>gpt_clean</x:v>
      </x:c>
      <x:c r="D36" s="2" t="n">
        <x:v>1</x:v>
      </x:c>
      <x:c r="E36" s="8"/>
      <x:c r="F36" s="8"/>
      <x:c r="G36" s="9"/>
      <x:c r="H36" s="9"/>
      <x:c r="I36" s="8"/>
      <x:c r="J36" s="8"/>
      <x:c r="K36" s="2" t="str">
        <x:f>IF(OR(E36="",F36="",G36="",H36="",I36="",J36=""),"",IF(E36="Harness blocked","BLOCKED",IF(AND(E36="Present",F36="Supplied"),1,IF(OR(E36="Missing",E36="Not reached"),0,"CHECK"))))</x:f>
      </x:c>
      <x:c r="L36" s="2" t="str">
        <x:f>IF(ISNUMBER(K36),IF(AND(K36=1,I36="No"),1,0),K36)</x:f>
      </x:c>
      <x:c r="M36" s="2" t="n">
        <x:f>IF(ISNUMBER(K36),1,0)</x:f>
        <x:v>0</x:v>
      </x:c>
    </x:row>
    <x:row r="37" ht="24" customHeight="1">
      <x:c r="A37" s="2" t="str">
        <x:v>S04.08</x:v>
      </x:c>
      <x:c r="B37" s="2" t="str">
        <x:v>S04</x:v>
      </x:c>
      <x:c r="C37" s="2" t="str">
        <x:v>gpt_clean</x:v>
      </x:c>
      <x:c r="D37" s="2" t="n">
        <x:v>1</x:v>
      </x:c>
      <x:c r="E37" s="8"/>
      <x:c r="F37" s="8"/>
      <x:c r="G37" s="9"/>
      <x:c r="H37" s="9"/>
      <x:c r="I37" s="8"/>
      <x:c r="J37" s="8"/>
      <x:c r="K37" s="2" t="str">
        <x:f>IF(OR(E37="",F37="",G37="",H37="",I37="",J37=""),"",IF(E37="Harness blocked","BLOCKED",IF(AND(E37="Present",F37="Supplied"),1,IF(OR(E37="Missing",E37="Not reached"),0,"CHECK"))))</x:f>
      </x:c>
      <x:c r="L37" s="2" t="str">
        <x:f>IF(ISNUMBER(K37),IF(AND(K37=1,I37="No"),1,0),K37)</x:f>
      </x:c>
      <x:c r="M37" s="2" t="n">
        <x:f>IF(ISNUMBER(K37),1,0)</x:f>
        <x:v>0</x:v>
      </x:c>
    </x:row>
    <x:row r="38" ht="24" customHeight="1">
      <x:c r="A38" s="2" t="str">
        <x:v>S05.01</x:v>
      </x:c>
      <x:c r="B38" s="2" t="str">
        <x:v>S05</x:v>
      </x:c>
      <x:c r="C38" s="2" t="str">
        <x:v>gpt_clean</x:v>
      </x:c>
      <x:c r="D38" s="2" t="n">
        <x:v>1</x:v>
      </x:c>
      <x:c r="E38" s="8"/>
      <x:c r="F38" s="8"/>
      <x:c r="G38" s="9"/>
      <x:c r="H38" s="9"/>
      <x:c r="I38" s="8"/>
      <x:c r="J38" s="8"/>
      <x:c r="K38" s="2" t="str">
        <x:f>IF(OR(E38="",F38="",G38="",H38="",I38="",J38=""),"",IF(E38="Harness blocked","BLOCKED",IF(AND(E38="Present",F38="Supplied"),1,IF(OR(E38="Missing",E38="Not reached"),0,"CHECK"))))</x:f>
      </x:c>
      <x:c r="L38" s="2" t="str">
        <x:f>IF(ISNUMBER(K38),IF(AND(K38=1,I38="No"),1,0),K38)</x:f>
      </x:c>
      <x:c r="M38" s="2" t="n">
        <x:f>IF(ISNUMBER(K38),1,0)</x:f>
        <x:v>0</x:v>
      </x:c>
    </x:row>
    <x:row r="39" ht="24" customHeight="1">
      <x:c r="A39" s="2" t="str">
        <x:v>S05.02</x:v>
      </x:c>
      <x:c r="B39" s="2" t="str">
        <x:v>S05</x:v>
      </x:c>
      <x:c r="C39" s="2" t="str">
        <x:v>gpt_clean</x:v>
      </x:c>
      <x:c r="D39" s="2" t="n">
        <x:v>1</x:v>
      </x:c>
      <x:c r="E39" s="8"/>
      <x:c r="F39" s="8"/>
      <x:c r="G39" s="9"/>
      <x:c r="H39" s="9"/>
      <x:c r="I39" s="8"/>
      <x:c r="J39" s="8"/>
      <x:c r="K39" s="2" t="str">
        <x:f>IF(OR(E39="",F39="",G39="",H39="",I39="",J39=""),"",IF(E39="Harness blocked","BLOCKED",IF(AND(E39="Present",F39="Supplied"),1,IF(OR(E39="Missing",E39="Not reached"),0,"CHECK"))))</x:f>
      </x:c>
      <x:c r="L39" s="2" t="str">
        <x:f>IF(ISNUMBER(K39),IF(AND(K39=1,I39="No"),1,0),K39)</x:f>
      </x:c>
      <x:c r="M39" s="2" t="n">
        <x:f>IF(ISNUMBER(K39),1,0)</x:f>
        <x:v>0</x:v>
      </x:c>
    </x:row>
    <x:row r="40" ht="24" customHeight="1">
      <x:c r="A40" s="2" t="str">
        <x:v>S05.03</x:v>
      </x:c>
      <x:c r="B40" s="2" t="str">
        <x:v>S05</x:v>
      </x:c>
      <x:c r="C40" s="2" t="str">
        <x:v>gpt_clean</x:v>
      </x:c>
      <x:c r="D40" s="2" t="n">
        <x:v>1</x:v>
      </x:c>
      <x:c r="E40" s="8"/>
      <x:c r="F40" s="8"/>
      <x:c r="G40" s="9"/>
      <x:c r="H40" s="9"/>
      <x:c r="I40" s="8"/>
      <x:c r="J40" s="8"/>
      <x:c r="K40" s="2" t="str">
        <x:f>IF(OR(E40="",F40="",G40="",H40="",I40="",J40=""),"",IF(E40="Harness blocked","BLOCKED",IF(AND(E40="Present",F40="Supplied"),1,IF(OR(E40="Missing",E40="Not reached"),0,"CHECK"))))</x:f>
      </x:c>
      <x:c r="L40" s="2" t="str">
        <x:f>IF(ISNUMBER(K40),IF(AND(K40=1,I40="No"),1,0),K40)</x:f>
      </x:c>
      <x:c r="M40" s="2" t="n">
        <x:f>IF(ISNUMBER(K40),1,0)</x:f>
        <x:v>0</x:v>
      </x:c>
    </x:row>
    <x:row r="41" ht="24" customHeight="1">
      <x:c r="A41" s="2" t="str">
        <x:v>S05.04</x:v>
      </x:c>
      <x:c r="B41" s="2" t="str">
        <x:v>S05</x:v>
      </x:c>
      <x:c r="C41" s="2" t="str">
        <x:v>gpt_clean</x:v>
      </x:c>
      <x:c r="D41" s="2" t="n">
        <x:v>1</x:v>
      </x:c>
      <x:c r="E41" s="8"/>
      <x:c r="F41" s="8"/>
      <x:c r="G41" s="9"/>
      <x:c r="H41" s="9"/>
      <x:c r="I41" s="8"/>
      <x:c r="J41" s="8"/>
      <x:c r="K41" s="2" t="str">
        <x:f>IF(OR(E41="",F41="",G41="",H41="",I41="",J41=""),"",IF(E41="Harness blocked","BLOCKED",IF(AND(E41="Present",F41="Supplied"),1,IF(OR(E41="Missing",E41="Not reached"),0,"CHECK"))))</x:f>
      </x:c>
      <x:c r="L41" s="2" t="str">
        <x:f>IF(ISNUMBER(K41),IF(AND(K41=1,I41="No"),1,0),K41)</x:f>
      </x:c>
      <x:c r="M41" s="2" t="n">
        <x:f>IF(ISNUMBER(K41),1,0)</x:f>
        <x:v>0</x:v>
      </x:c>
    </x:row>
    <x:row r="42" ht="24" customHeight="1">
      <x:c r="A42" s="2" t="str">
        <x:v>S05.05</x:v>
      </x:c>
      <x:c r="B42" s="2" t="str">
        <x:v>S05</x:v>
      </x:c>
      <x:c r="C42" s="2" t="str">
        <x:v>gpt_clean</x:v>
      </x:c>
      <x:c r="D42" s="2" t="n">
        <x:v>1</x:v>
      </x:c>
      <x:c r="E42" s="8"/>
      <x:c r="F42" s="8"/>
      <x:c r="G42" s="9"/>
      <x:c r="H42" s="9"/>
      <x:c r="I42" s="8"/>
      <x:c r="J42" s="8"/>
      <x:c r="K42" s="2" t="str">
        <x:f>IF(OR(E42="",F42="",G42="",H42="",I42="",J42=""),"",IF(E42="Harness blocked","BLOCKED",IF(AND(E42="Present",F42="Supplied"),1,IF(OR(E42="Missing",E42="Not reached"),0,"CHECK"))))</x:f>
      </x:c>
      <x:c r="L42" s="2" t="str">
        <x:f>IF(ISNUMBER(K42),IF(AND(K42=1,I42="No"),1,0),K42)</x:f>
      </x:c>
      <x:c r="M42" s="2" t="n">
        <x:f>IF(ISNUMBER(K42),1,0)</x:f>
        <x:v>0</x:v>
      </x:c>
    </x:row>
    <x:row r="43" ht="24" customHeight="1">
      <x:c r="A43" s="2" t="str">
        <x:v>S05.06</x:v>
      </x:c>
      <x:c r="B43" s="2" t="str">
        <x:v>S05</x:v>
      </x:c>
      <x:c r="C43" s="2" t="str">
        <x:v>gpt_clean</x:v>
      </x:c>
      <x:c r="D43" s="2" t="n">
        <x:v>1</x:v>
      </x:c>
      <x:c r="E43" s="8"/>
      <x:c r="F43" s="8"/>
      <x:c r="G43" s="9"/>
      <x:c r="H43" s="9"/>
      <x:c r="I43" s="8"/>
      <x:c r="J43" s="8"/>
      <x:c r="K43" s="2" t="str">
        <x:f>IF(OR(E43="",F43="",G43="",H43="",I43="",J43=""),"",IF(E43="Harness blocked","BLOCKED",IF(AND(E43="Present",F43="Supplied"),1,IF(OR(E43="Missing",E43="Not reached"),0,"CHECK"))))</x:f>
      </x:c>
      <x:c r="L43" s="2" t="str">
        <x:f>IF(ISNUMBER(K43),IF(AND(K43=1,I43="No"),1,0),K43)</x:f>
      </x:c>
      <x:c r="M43" s="2" t="n">
        <x:f>IF(ISNUMBER(K43),1,0)</x:f>
        <x:v>0</x:v>
      </x:c>
    </x:row>
    <x:row r="44" ht="24" customHeight="1">
      <x:c r="A44" s="2" t="str">
        <x:v>S05.07</x:v>
      </x:c>
      <x:c r="B44" s="2" t="str">
        <x:v>S05</x:v>
      </x:c>
      <x:c r="C44" s="2" t="str">
        <x:v>gpt_clean</x:v>
      </x:c>
      <x:c r="D44" s="2" t="n">
        <x:v>1</x:v>
      </x:c>
      <x:c r="E44" s="8"/>
      <x:c r="F44" s="8"/>
      <x:c r="G44" s="9"/>
      <x:c r="H44" s="9"/>
      <x:c r="I44" s="8"/>
      <x:c r="J44" s="8"/>
      <x:c r="K44" s="2" t="str">
        <x:f>IF(OR(E44="",F44="",G44="",H44="",I44="",J44=""),"",IF(E44="Harness blocked","BLOCKED",IF(AND(E44="Present",F44="Supplied"),1,IF(OR(E44="Missing",E44="Not reached"),0,"CHECK"))))</x:f>
      </x:c>
      <x:c r="L44" s="2" t="str">
        <x:f>IF(ISNUMBER(K44),IF(AND(K44=1,I44="No"),1,0),K44)</x:f>
      </x:c>
      <x:c r="M44" s="2" t="n">
        <x:f>IF(ISNUMBER(K44),1,0)</x:f>
        <x:v>0</x:v>
      </x:c>
    </x:row>
    <x:row r="45" ht="24" customHeight="1">
      <x:c r="A45" s="2" t="str">
        <x:v>S05.08</x:v>
      </x:c>
      <x:c r="B45" s="2" t="str">
        <x:v>S05</x:v>
      </x:c>
      <x:c r="C45" s="2" t="str">
        <x:v>gpt_clean</x:v>
      </x:c>
      <x:c r="D45" s="2" t="n">
        <x:v>1</x:v>
      </x:c>
      <x:c r="E45" s="8"/>
      <x:c r="F45" s="8"/>
      <x:c r="G45" s="9"/>
      <x:c r="H45" s="9"/>
      <x:c r="I45" s="8"/>
      <x:c r="J45" s="8"/>
      <x:c r="K45" s="2" t="str">
        <x:f>IF(OR(E45="",F45="",G45="",H45="",I45="",J45=""),"",IF(E45="Harness blocked","BLOCKED",IF(AND(E45="Present",F45="Supplied"),1,IF(OR(E45="Missing",E45="Not reached"),0,"CHECK"))))</x:f>
      </x:c>
      <x:c r="L45" s="2" t="str">
        <x:f>IF(ISNUMBER(K45),IF(AND(K45=1,I45="No"),1,0),K45)</x:f>
      </x:c>
      <x:c r="M45" s="2" t="n">
        <x:f>IF(ISNUMBER(K45),1,0)</x:f>
        <x:v>0</x:v>
      </x:c>
    </x:row>
    <x:row r="46" ht="24" customHeight="1">
      <x:c r="A46" s="2" t="str">
        <x:v>S06.01</x:v>
      </x:c>
      <x:c r="B46" s="2" t="str">
        <x:v>S06</x:v>
      </x:c>
      <x:c r="C46" s="2" t="str">
        <x:v>gpt_clean</x:v>
      </x:c>
      <x:c r="D46" s="2" t="n">
        <x:v>1</x:v>
      </x:c>
      <x:c r="E46" s="8"/>
      <x:c r="F46" s="8"/>
      <x:c r="G46" s="9"/>
      <x:c r="H46" s="9"/>
      <x:c r="I46" s="8"/>
      <x:c r="J46" s="8"/>
      <x:c r="K46" s="2" t="str">
        <x:f>IF(OR(E46="",F46="",G46="",H46="",I46="",J46=""),"",IF(E46="Harness blocked","BLOCKED",IF(AND(E46="Present",F46="Supplied"),1,IF(OR(E46="Missing",E46="Not reached"),0,"CHECK"))))</x:f>
      </x:c>
      <x:c r="L46" s="2" t="str">
        <x:f>IF(ISNUMBER(K46),IF(AND(K46=1,I46="No"),1,0),K46)</x:f>
      </x:c>
      <x:c r="M46" s="2" t="n">
        <x:f>IF(ISNUMBER(K46),1,0)</x:f>
        <x:v>0</x:v>
      </x:c>
    </x:row>
    <x:row r="47" ht="24" customHeight="1">
      <x:c r="A47" s="2" t="str">
        <x:v>S06.02</x:v>
      </x:c>
      <x:c r="B47" s="2" t="str">
        <x:v>S06</x:v>
      </x:c>
      <x:c r="C47" s="2" t="str">
        <x:v>gpt_clean</x:v>
      </x:c>
      <x:c r="D47" s="2" t="n">
        <x:v>1</x:v>
      </x:c>
      <x:c r="E47" s="8"/>
      <x:c r="F47" s="8"/>
      <x:c r="G47" s="9"/>
      <x:c r="H47" s="9"/>
      <x:c r="I47" s="8"/>
      <x:c r="J47" s="8"/>
      <x:c r="K47" s="2" t="str">
        <x:f>IF(OR(E47="",F47="",G47="",H47="",I47="",J47=""),"",IF(E47="Harness blocked","BLOCKED",IF(AND(E47="Present",F47="Supplied"),1,IF(OR(E47="Missing",E47="Not reached"),0,"CHECK"))))</x:f>
      </x:c>
      <x:c r="L47" s="2" t="str">
        <x:f>IF(ISNUMBER(K47),IF(AND(K47=1,I47="No"),1,0),K47)</x:f>
      </x:c>
      <x:c r="M47" s="2" t="n">
        <x:f>IF(ISNUMBER(K47),1,0)</x:f>
        <x:v>0</x:v>
      </x:c>
    </x:row>
    <x:row r="48" ht="24" customHeight="1">
      <x:c r="A48" s="2" t="str">
        <x:v>S06.03</x:v>
      </x:c>
      <x:c r="B48" s="2" t="str">
        <x:v>S06</x:v>
      </x:c>
      <x:c r="C48" s="2" t="str">
        <x:v>gpt_clean</x:v>
      </x:c>
      <x:c r="D48" s="2" t="n">
        <x:v>1</x:v>
      </x:c>
      <x:c r="E48" s="8"/>
      <x:c r="F48" s="8"/>
      <x:c r="G48" s="9"/>
      <x:c r="H48" s="9"/>
      <x:c r="I48" s="8"/>
      <x:c r="J48" s="8"/>
      <x:c r="K48" s="2" t="str">
        <x:f>IF(OR(E48="",F48="",G48="",H48="",I48="",J48=""),"",IF(E48="Harness blocked","BLOCKED",IF(AND(E48="Present",F48="Supplied"),1,IF(OR(E48="Missing",E48="Not reached"),0,"CHECK"))))</x:f>
      </x:c>
      <x:c r="L48" s="2" t="str">
        <x:f>IF(ISNUMBER(K48),IF(AND(K48=1,I48="No"),1,0),K48)</x:f>
      </x:c>
      <x:c r="M48" s="2" t="n">
        <x:f>IF(ISNUMBER(K48),1,0)</x:f>
        <x:v>0</x:v>
      </x:c>
    </x:row>
    <x:row r="49" ht="24" customHeight="1">
      <x:c r="A49" s="2" t="str">
        <x:v>S06.04</x:v>
      </x:c>
      <x:c r="B49" s="2" t="str">
        <x:v>S06</x:v>
      </x:c>
      <x:c r="C49" s="2" t="str">
        <x:v>gpt_clean</x:v>
      </x:c>
      <x:c r="D49" s="2" t="n">
        <x:v>1</x:v>
      </x:c>
      <x:c r="E49" s="8"/>
      <x:c r="F49" s="8"/>
      <x:c r="G49" s="9"/>
      <x:c r="H49" s="9"/>
      <x:c r="I49" s="8"/>
      <x:c r="J49" s="8"/>
      <x:c r="K49" s="2" t="str">
        <x:f>IF(OR(E49="",F49="",G49="",H49="",I49="",J49=""),"",IF(E49="Harness blocked","BLOCKED",IF(AND(E49="Present",F49="Supplied"),1,IF(OR(E49="Missing",E49="Not reached"),0,"CHECK"))))</x:f>
      </x:c>
      <x:c r="L49" s="2" t="str">
        <x:f>IF(ISNUMBER(K49),IF(AND(K49=1,I49="No"),1,0),K49)</x:f>
      </x:c>
      <x:c r="M49" s="2" t="n">
        <x:f>IF(ISNUMBER(K49),1,0)</x:f>
        <x:v>0</x:v>
      </x:c>
    </x:row>
    <x:row r="50" ht="24" customHeight="1">
      <x:c r="A50" s="2" t="str">
        <x:v>S06.05</x:v>
      </x:c>
      <x:c r="B50" s="2" t="str">
        <x:v>S06</x:v>
      </x:c>
      <x:c r="C50" s="2" t="str">
        <x:v>gpt_clean</x:v>
      </x:c>
      <x:c r="D50" s="2" t="n">
        <x:v>1</x:v>
      </x:c>
      <x:c r="E50" s="8"/>
      <x:c r="F50" s="8"/>
      <x:c r="G50" s="9"/>
      <x:c r="H50" s="9"/>
      <x:c r="I50" s="8"/>
      <x:c r="J50" s="8"/>
      <x:c r="K50" s="2" t="str">
        <x:f>IF(OR(E50="",F50="",G50="",H50="",I50="",J50=""),"",IF(E50="Harness blocked","BLOCKED",IF(AND(E50="Present",F50="Supplied"),1,IF(OR(E50="Missing",E50="Not reached"),0,"CHECK"))))</x:f>
      </x:c>
      <x:c r="L50" s="2" t="str">
        <x:f>IF(ISNUMBER(K50),IF(AND(K50=1,I50="No"),1,0),K50)</x:f>
      </x:c>
      <x:c r="M50" s="2" t="n">
        <x:f>IF(ISNUMBER(K50),1,0)</x:f>
        <x:v>0</x:v>
      </x:c>
    </x:row>
    <x:row r="51" ht="24" customHeight="1">
      <x:c r="A51" s="2" t="str">
        <x:v>S06.06</x:v>
      </x:c>
      <x:c r="B51" s="2" t="str">
        <x:v>S06</x:v>
      </x:c>
      <x:c r="C51" s="2" t="str">
        <x:v>gpt_clean</x:v>
      </x:c>
      <x:c r="D51" s="2" t="n">
        <x:v>1</x:v>
      </x:c>
      <x:c r="E51" s="8"/>
      <x:c r="F51" s="8"/>
      <x:c r="G51" s="9"/>
      <x:c r="H51" s="9"/>
      <x:c r="I51" s="8"/>
      <x:c r="J51" s="8"/>
      <x:c r="K51" s="2" t="str">
        <x:f>IF(OR(E51="",F51="",G51="",H51="",I51="",J51=""),"",IF(E51="Harness blocked","BLOCKED",IF(AND(E51="Present",F51="Supplied"),1,IF(OR(E51="Missing",E51="Not reached"),0,"CHECK"))))</x:f>
      </x:c>
      <x:c r="L51" s="2" t="str">
        <x:f>IF(ISNUMBER(K51),IF(AND(K51=1,I51="No"),1,0),K51)</x:f>
      </x:c>
      <x:c r="M51" s="2" t="n">
        <x:f>IF(ISNUMBER(K51),1,0)</x:f>
        <x:v>0</x:v>
      </x:c>
    </x:row>
    <x:row r="52" ht="24" customHeight="1">
      <x:c r="A52" s="2" t="str">
        <x:v>S06.07</x:v>
      </x:c>
      <x:c r="B52" s="2" t="str">
        <x:v>S06</x:v>
      </x:c>
      <x:c r="C52" s="2" t="str">
        <x:v>gpt_clean</x:v>
      </x:c>
      <x:c r="D52" s="2" t="n">
        <x:v>1</x:v>
      </x:c>
      <x:c r="E52" s="8"/>
      <x:c r="F52" s="8"/>
      <x:c r="G52" s="9"/>
      <x:c r="H52" s="9"/>
      <x:c r="I52" s="8"/>
      <x:c r="J52" s="8"/>
      <x:c r="K52" s="2" t="str">
        <x:f>IF(OR(E52="",F52="",G52="",H52="",I52="",J52=""),"",IF(E52="Harness blocked","BLOCKED",IF(AND(E52="Present",F52="Supplied"),1,IF(OR(E52="Missing",E52="Not reached"),0,"CHECK"))))</x:f>
      </x:c>
      <x:c r="L52" s="2" t="str">
        <x:f>IF(ISNUMBER(K52),IF(AND(K52=1,I52="No"),1,0),K52)</x:f>
      </x:c>
      <x:c r="M52" s="2" t="n">
        <x:f>IF(ISNUMBER(K52),1,0)</x:f>
        <x:v>0</x:v>
      </x:c>
    </x:row>
    <x:row r="53" ht="24" customHeight="1">
      <x:c r="A53" s="2" t="str">
        <x:v>S06.08</x:v>
      </x:c>
      <x:c r="B53" s="2" t="str">
        <x:v>S06</x:v>
      </x:c>
      <x:c r="C53" s="2" t="str">
        <x:v>gpt_clean</x:v>
      </x:c>
      <x:c r="D53" s="2" t="n">
        <x:v>1</x:v>
      </x:c>
      <x:c r="E53" s="8"/>
      <x:c r="F53" s="8"/>
      <x:c r="G53" s="9"/>
      <x:c r="H53" s="9"/>
      <x:c r="I53" s="8"/>
      <x:c r="J53" s="8"/>
      <x:c r="K53" s="2" t="str">
        <x:f>IF(OR(E53="",F53="",G53="",H53="",I53="",J53=""),"",IF(E53="Harness blocked","BLOCKED",IF(AND(E53="Present",F53="Supplied"),1,IF(OR(E53="Missing",E53="Not reached"),0,"CHECK"))))</x:f>
      </x:c>
      <x:c r="L53" s="2" t="str">
        <x:f>IF(ISNUMBER(K53),IF(AND(K53=1,I53="No"),1,0),K53)</x:f>
      </x:c>
      <x:c r="M53" s="2" t="n">
        <x:f>IF(ISNUMBER(K53),1,0)</x:f>
        <x:v>0</x:v>
      </x:c>
    </x:row>
    <x:row r="54" ht="24" customHeight="1">
      <x:c r="A54" s="2" t="str">
        <x:v>S07.01</x:v>
      </x:c>
      <x:c r="B54" s="2" t="str">
        <x:v>S07</x:v>
      </x:c>
      <x:c r="C54" s="2" t="str">
        <x:v>gpt_clean</x:v>
      </x:c>
      <x:c r="D54" s="2" t="n">
        <x:v>1</x:v>
      </x:c>
      <x:c r="E54" s="8"/>
      <x:c r="F54" s="8"/>
      <x:c r="G54" s="9"/>
      <x:c r="H54" s="9"/>
      <x:c r="I54" s="8"/>
      <x:c r="J54" s="8"/>
      <x:c r="K54" s="2" t="str">
        <x:f>IF(OR(E54="",F54="",G54="",H54="",I54="",J54=""),"",IF(E54="Harness blocked","BLOCKED",IF(AND(E54="Present",F54="Supplied"),1,IF(OR(E54="Missing",E54="Not reached"),0,"CHECK"))))</x:f>
      </x:c>
      <x:c r="L54" s="2" t="str">
        <x:f>IF(ISNUMBER(K54),IF(AND(K54=1,I54="No"),1,0),K54)</x:f>
      </x:c>
      <x:c r="M54" s="2" t="n">
        <x:f>IF(ISNUMBER(K54),1,0)</x:f>
        <x:v>0</x:v>
      </x:c>
    </x:row>
    <x:row r="55" ht="24" customHeight="1">
      <x:c r="A55" s="2" t="str">
        <x:v>S07.02</x:v>
      </x:c>
      <x:c r="B55" s="2" t="str">
        <x:v>S07</x:v>
      </x:c>
      <x:c r="C55" s="2" t="str">
        <x:v>gpt_clean</x:v>
      </x:c>
      <x:c r="D55" s="2" t="n">
        <x:v>1</x:v>
      </x:c>
      <x:c r="E55" s="8"/>
      <x:c r="F55" s="8"/>
      <x:c r="G55" s="9"/>
      <x:c r="H55" s="9"/>
      <x:c r="I55" s="8"/>
      <x:c r="J55" s="8"/>
      <x:c r="K55" s="2" t="str">
        <x:f>IF(OR(E55="",F55="",G55="",H55="",I55="",J55=""),"",IF(E55="Harness blocked","BLOCKED",IF(AND(E55="Present",F55="Supplied"),1,IF(OR(E55="Missing",E55="Not reached"),0,"CHECK"))))</x:f>
      </x:c>
      <x:c r="L55" s="2" t="str">
        <x:f>IF(ISNUMBER(K55),IF(AND(K55=1,I55="No"),1,0),K55)</x:f>
      </x:c>
      <x:c r="M55" s="2" t="n">
        <x:f>IF(ISNUMBER(K55),1,0)</x:f>
        <x:v>0</x:v>
      </x:c>
    </x:row>
    <x:row r="56" ht="24" customHeight="1">
      <x:c r="A56" s="2" t="str">
        <x:v>S07.03</x:v>
      </x:c>
      <x:c r="B56" s="2" t="str">
        <x:v>S07</x:v>
      </x:c>
      <x:c r="C56" s="2" t="str">
        <x:v>gpt_clean</x:v>
      </x:c>
      <x:c r="D56" s="2" t="n">
        <x:v>1</x:v>
      </x:c>
      <x:c r="E56" s="8"/>
      <x:c r="F56" s="8"/>
      <x:c r="G56" s="9"/>
      <x:c r="H56" s="9"/>
      <x:c r="I56" s="8"/>
      <x:c r="J56" s="8"/>
      <x:c r="K56" s="2" t="str">
        <x:f>IF(OR(E56="",F56="",G56="",H56="",I56="",J56=""),"",IF(E56="Harness blocked","BLOCKED",IF(AND(E56="Present",F56="Supplied"),1,IF(OR(E56="Missing",E56="Not reached"),0,"CHECK"))))</x:f>
      </x:c>
      <x:c r="L56" s="2" t="str">
        <x:f>IF(ISNUMBER(K56),IF(AND(K56=1,I56="No"),1,0),K56)</x:f>
      </x:c>
      <x:c r="M56" s="2" t="n">
        <x:f>IF(ISNUMBER(K56),1,0)</x:f>
        <x:v>0</x:v>
      </x:c>
    </x:row>
    <x:row r="57" ht="24" customHeight="1">
      <x:c r="A57" s="2" t="str">
        <x:v>S07.04</x:v>
      </x:c>
      <x:c r="B57" s="2" t="str">
        <x:v>S07</x:v>
      </x:c>
      <x:c r="C57" s="2" t="str">
        <x:v>gpt_clean</x:v>
      </x:c>
      <x:c r="D57" s="2" t="n">
        <x:v>1</x:v>
      </x:c>
      <x:c r="E57" s="8"/>
      <x:c r="F57" s="8"/>
      <x:c r="G57" s="9"/>
      <x:c r="H57" s="9"/>
      <x:c r="I57" s="8"/>
      <x:c r="J57" s="8"/>
      <x:c r="K57" s="2" t="str">
        <x:f>IF(OR(E57="",F57="",G57="",H57="",I57="",J57=""),"",IF(E57="Harness blocked","BLOCKED",IF(AND(E57="Present",F57="Supplied"),1,IF(OR(E57="Missing",E57="Not reached"),0,"CHECK"))))</x:f>
      </x:c>
      <x:c r="L57" s="2" t="str">
        <x:f>IF(ISNUMBER(K57),IF(AND(K57=1,I57="No"),1,0),K57)</x:f>
      </x:c>
      <x:c r="M57" s="2" t="n">
        <x:f>IF(ISNUMBER(K57),1,0)</x:f>
        <x:v>0</x:v>
      </x:c>
    </x:row>
    <x:row r="58" ht="24" customHeight="1">
      <x:c r="A58" s="2" t="str">
        <x:v>S07.05</x:v>
      </x:c>
      <x:c r="B58" s="2" t="str">
        <x:v>S07</x:v>
      </x:c>
      <x:c r="C58" s="2" t="str">
        <x:v>gpt_clean</x:v>
      </x:c>
      <x:c r="D58" s="2" t="n">
        <x:v>1</x:v>
      </x:c>
      <x:c r="E58" s="8"/>
      <x:c r="F58" s="8"/>
      <x:c r="G58" s="9"/>
      <x:c r="H58" s="9"/>
      <x:c r="I58" s="8"/>
      <x:c r="J58" s="8"/>
      <x:c r="K58" s="2" t="str">
        <x:f>IF(OR(E58="",F58="",G58="",H58="",I58="",J58=""),"",IF(E58="Harness blocked","BLOCKED",IF(AND(E58="Present",F58="Supplied"),1,IF(OR(E58="Missing",E58="Not reached"),0,"CHECK"))))</x:f>
      </x:c>
      <x:c r="L58" s="2" t="str">
        <x:f>IF(ISNUMBER(K58),IF(AND(K58=1,I58="No"),1,0),K58)</x:f>
      </x:c>
      <x:c r="M58" s="2" t="n">
        <x:f>IF(ISNUMBER(K58),1,0)</x:f>
        <x:v>0</x:v>
      </x:c>
    </x:row>
    <x:row r="59" ht="24" customHeight="1">
      <x:c r="A59" s="2" t="str">
        <x:v>S07.06</x:v>
      </x:c>
      <x:c r="B59" s="2" t="str">
        <x:v>S07</x:v>
      </x:c>
      <x:c r="C59" s="2" t="str">
        <x:v>gpt_clean</x:v>
      </x:c>
      <x:c r="D59" s="2" t="n">
        <x:v>1</x:v>
      </x:c>
      <x:c r="E59" s="8"/>
      <x:c r="F59" s="8"/>
      <x:c r="G59" s="9"/>
      <x:c r="H59" s="9"/>
      <x:c r="I59" s="8"/>
      <x:c r="J59" s="8"/>
      <x:c r="K59" s="2" t="str">
        <x:f>IF(OR(E59="",F59="",G59="",H59="",I59="",J59=""),"",IF(E59="Harness blocked","BLOCKED",IF(AND(E59="Present",F59="Supplied"),1,IF(OR(E59="Missing",E59="Not reached"),0,"CHECK"))))</x:f>
      </x:c>
      <x:c r="L59" s="2" t="str">
        <x:f>IF(ISNUMBER(K59),IF(AND(K59=1,I59="No"),1,0),K59)</x:f>
      </x:c>
      <x:c r="M59" s="2" t="n">
        <x:f>IF(ISNUMBER(K59),1,0)</x:f>
        <x:v>0</x:v>
      </x:c>
    </x:row>
    <x:row r="60" ht="24" customHeight="1">
      <x:c r="A60" s="2" t="str">
        <x:v>S07.07</x:v>
      </x:c>
      <x:c r="B60" s="2" t="str">
        <x:v>S07</x:v>
      </x:c>
      <x:c r="C60" s="2" t="str">
        <x:v>gpt_clean</x:v>
      </x:c>
      <x:c r="D60" s="2" t="n">
        <x:v>1</x:v>
      </x:c>
      <x:c r="E60" s="8"/>
      <x:c r="F60" s="8"/>
      <x:c r="G60" s="9"/>
      <x:c r="H60" s="9"/>
      <x:c r="I60" s="8"/>
      <x:c r="J60" s="8"/>
      <x:c r="K60" s="2" t="str">
        <x:f>IF(OR(E60="",F60="",G60="",H60="",I60="",J60=""),"",IF(E60="Harness blocked","BLOCKED",IF(AND(E60="Present",F60="Supplied"),1,IF(OR(E60="Missing",E60="Not reached"),0,"CHECK"))))</x:f>
      </x:c>
      <x:c r="L60" s="2" t="str">
        <x:f>IF(ISNUMBER(K60),IF(AND(K60=1,I60="No"),1,0),K60)</x:f>
      </x:c>
      <x:c r="M60" s="2" t="n">
        <x:f>IF(ISNUMBER(K60),1,0)</x:f>
        <x:v>0</x:v>
      </x:c>
    </x:row>
    <x:row r="61" ht="24" customHeight="1">
      <x:c r="A61" s="2" t="str">
        <x:v>S07.08</x:v>
      </x:c>
      <x:c r="B61" s="2" t="str">
        <x:v>S07</x:v>
      </x:c>
      <x:c r="C61" s="2" t="str">
        <x:v>gpt_clean</x:v>
      </x:c>
      <x:c r="D61" s="2" t="n">
        <x:v>1</x:v>
      </x:c>
      <x:c r="E61" s="8"/>
      <x:c r="F61" s="8"/>
      <x:c r="G61" s="9"/>
      <x:c r="H61" s="9"/>
      <x:c r="I61" s="8"/>
      <x:c r="J61" s="8"/>
      <x:c r="K61" s="2" t="str">
        <x:f>IF(OR(E61="",F61="",G61="",H61="",I61="",J61=""),"",IF(E61="Harness blocked","BLOCKED",IF(AND(E61="Present",F61="Supplied"),1,IF(OR(E61="Missing",E61="Not reached"),0,"CHECK"))))</x:f>
      </x:c>
      <x:c r="L61" s="2" t="str">
        <x:f>IF(ISNUMBER(K61),IF(AND(K61=1,I61="No"),1,0),K61)</x:f>
      </x:c>
      <x:c r="M61" s="2" t="n">
        <x:f>IF(ISNUMBER(K61),1,0)</x:f>
        <x:v>0</x:v>
      </x:c>
    </x:row>
    <x:row r="62" ht="24" customHeight="1">
      <x:c r="A62" s="2" t="str">
        <x:v>S08.01</x:v>
      </x:c>
      <x:c r="B62" s="2" t="str">
        <x:v>S08</x:v>
      </x:c>
      <x:c r="C62" s="2" t="str">
        <x:v>gpt_clean</x:v>
      </x:c>
      <x:c r="D62" s="2" t="n">
        <x:v>1</x:v>
      </x:c>
      <x:c r="E62" s="8"/>
      <x:c r="F62" s="8"/>
      <x:c r="G62" s="9"/>
      <x:c r="H62" s="9"/>
      <x:c r="I62" s="8"/>
      <x:c r="J62" s="8"/>
      <x:c r="K62" s="2" t="str">
        <x:f>IF(OR(E62="",F62="",G62="",H62="",I62="",J62=""),"",IF(E62="Harness blocked","BLOCKED",IF(AND(E62="Present",F62="Supplied"),1,IF(OR(E62="Missing",E62="Not reached"),0,"CHECK"))))</x:f>
      </x:c>
      <x:c r="L62" s="2" t="str">
        <x:f>IF(ISNUMBER(K62),IF(AND(K62=1,I62="No"),1,0),K62)</x:f>
      </x:c>
      <x:c r="M62" s="2" t="n">
        <x:f>IF(ISNUMBER(K62),1,0)</x:f>
        <x:v>0</x:v>
      </x:c>
    </x:row>
    <x:row r="63" ht="24" customHeight="1">
      <x:c r="A63" s="2" t="str">
        <x:v>S08.02</x:v>
      </x:c>
      <x:c r="B63" s="2" t="str">
        <x:v>S08</x:v>
      </x:c>
      <x:c r="C63" s="2" t="str">
        <x:v>gpt_clean</x:v>
      </x:c>
      <x:c r="D63" s="2" t="n">
        <x:v>1</x:v>
      </x:c>
      <x:c r="E63" s="8"/>
      <x:c r="F63" s="8"/>
      <x:c r="G63" s="9"/>
      <x:c r="H63" s="9"/>
      <x:c r="I63" s="8"/>
      <x:c r="J63" s="8"/>
      <x:c r="K63" s="2" t="str">
        <x:f>IF(OR(E63="",F63="",G63="",H63="",I63="",J63=""),"",IF(E63="Harness blocked","BLOCKED",IF(AND(E63="Present",F63="Supplied"),1,IF(OR(E63="Missing",E63="Not reached"),0,"CHECK"))))</x:f>
      </x:c>
      <x:c r="L63" s="2" t="str">
        <x:f>IF(ISNUMBER(K63),IF(AND(K63=1,I63="No"),1,0),K63)</x:f>
      </x:c>
      <x:c r="M63" s="2" t="n">
        <x:f>IF(ISNUMBER(K63),1,0)</x:f>
        <x:v>0</x:v>
      </x:c>
    </x:row>
    <x:row r="64" ht="24" customHeight="1">
      <x:c r="A64" s="2" t="str">
        <x:v>S08.03</x:v>
      </x:c>
      <x:c r="B64" s="2" t="str">
        <x:v>S08</x:v>
      </x:c>
      <x:c r="C64" s="2" t="str">
        <x:v>gpt_clean</x:v>
      </x:c>
      <x:c r="D64" s="2" t="n">
        <x:v>1</x:v>
      </x:c>
      <x:c r="E64" s="8"/>
      <x:c r="F64" s="8"/>
      <x:c r="G64" s="9"/>
      <x:c r="H64" s="9"/>
      <x:c r="I64" s="8"/>
      <x:c r="J64" s="8"/>
      <x:c r="K64" s="2" t="str">
        <x:f>IF(OR(E64="",F64="",G64="",H64="",I64="",J64=""),"",IF(E64="Harness blocked","BLOCKED",IF(AND(E64="Present",F64="Supplied"),1,IF(OR(E64="Missing",E64="Not reached"),0,"CHECK"))))</x:f>
      </x:c>
      <x:c r="L64" s="2" t="str">
        <x:f>IF(ISNUMBER(K64),IF(AND(K64=1,I64="No"),1,0),K64)</x:f>
      </x:c>
      <x:c r="M64" s="2" t="n">
        <x:f>IF(ISNUMBER(K64),1,0)</x:f>
        <x:v>0</x:v>
      </x:c>
    </x:row>
    <x:row r="65" ht="24" customHeight="1">
      <x:c r="A65" s="2" t="str">
        <x:v>S08.04</x:v>
      </x:c>
      <x:c r="B65" s="2" t="str">
        <x:v>S08</x:v>
      </x:c>
      <x:c r="C65" s="2" t="str">
        <x:v>gpt_clean</x:v>
      </x:c>
      <x:c r="D65" s="2" t="n">
        <x:v>1</x:v>
      </x:c>
      <x:c r="E65" s="8"/>
      <x:c r="F65" s="8"/>
      <x:c r="G65" s="9"/>
      <x:c r="H65" s="9"/>
      <x:c r="I65" s="8"/>
      <x:c r="J65" s="8"/>
      <x:c r="K65" s="2" t="str">
        <x:f>IF(OR(E65="",F65="",G65="",H65="",I65="",J65=""),"",IF(E65="Harness blocked","BLOCKED",IF(AND(E65="Present",F65="Supplied"),1,IF(OR(E65="Missing",E65="Not reached"),0,"CHECK"))))</x:f>
      </x:c>
      <x:c r="L65" s="2" t="str">
        <x:f>IF(ISNUMBER(K65),IF(AND(K65=1,I65="No"),1,0),K65)</x:f>
      </x:c>
      <x:c r="M65" s="2" t="n">
        <x:f>IF(ISNUMBER(K65),1,0)</x:f>
        <x:v>0</x:v>
      </x:c>
    </x:row>
    <x:row r="66" ht="24" customHeight="1">
      <x:c r="A66" s="2" t="str">
        <x:v>S08.05</x:v>
      </x:c>
      <x:c r="B66" s="2" t="str">
        <x:v>S08</x:v>
      </x:c>
      <x:c r="C66" s="2" t="str">
        <x:v>gpt_clean</x:v>
      </x:c>
      <x:c r="D66" s="2" t="n">
        <x:v>1</x:v>
      </x:c>
      <x:c r="E66" s="8"/>
      <x:c r="F66" s="8"/>
      <x:c r="G66" s="9"/>
      <x:c r="H66" s="9"/>
      <x:c r="I66" s="8"/>
      <x:c r="J66" s="8"/>
      <x:c r="K66" s="2" t="str">
        <x:f>IF(OR(E66="",F66="",G66="",H66="",I66="",J66=""),"",IF(E66="Harness blocked","BLOCKED",IF(AND(E66="Present",F66="Supplied"),1,IF(OR(E66="Missing",E66="Not reached"),0,"CHECK"))))</x:f>
      </x:c>
      <x:c r="L66" s="2" t="str">
        <x:f>IF(ISNUMBER(K66),IF(AND(K66=1,I66="No"),1,0),K66)</x:f>
      </x:c>
      <x:c r="M66" s="2" t="n">
        <x:f>IF(ISNUMBER(K66),1,0)</x:f>
        <x:v>0</x:v>
      </x:c>
    </x:row>
    <x:row r="67" ht="24" customHeight="1">
      <x:c r="A67" s="2" t="str">
        <x:v>S08.06</x:v>
      </x:c>
      <x:c r="B67" s="2" t="str">
        <x:v>S08</x:v>
      </x:c>
      <x:c r="C67" s="2" t="str">
        <x:v>gpt_clean</x:v>
      </x:c>
      <x:c r="D67" s="2" t="n">
        <x:v>1</x:v>
      </x:c>
      <x:c r="E67" s="8"/>
      <x:c r="F67" s="8"/>
      <x:c r="G67" s="9"/>
      <x:c r="H67" s="9"/>
      <x:c r="I67" s="8"/>
      <x:c r="J67" s="8"/>
      <x:c r="K67" s="2" t="str">
        <x:f>IF(OR(E67="",F67="",G67="",H67="",I67="",J67=""),"",IF(E67="Harness blocked","BLOCKED",IF(AND(E67="Present",F67="Supplied"),1,IF(OR(E67="Missing",E67="Not reached"),0,"CHECK"))))</x:f>
      </x:c>
      <x:c r="L67" s="2" t="str">
        <x:f>IF(ISNUMBER(K67),IF(AND(K67=1,I67="No"),1,0),K67)</x:f>
      </x:c>
      <x:c r="M67" s="2" t="n">
        <x:f>IF(ISNUMBER(K67),1,0)</x:f>
        <x:v>0</x:v>
      </x:c>
    </x:row>
    <x:row r="68" ht="24" customHeight="1">
      <x:c r="A68" s="2" t="str">
        <x:v>S08.07</x:v>
      </x:c>
      <x:c r="B68" s="2" t="str">
        <x:v>S08</x:v>
      </x:c>
      <x:c r="C68" s="2" t="str">
        <x:v>gpt_clean</x:v>
      </x:c>
      <x:c r="D68" s="2" t="n">
        <x:v>1</x:v>
      </x:c>
      <x:c r="E68" s="8"/>
      <x:c r="F68" s="8"/>
      <x:c r="G68" s="9"/>
      <x:c r="H68" s="9"/>
      <x:c r="I68" s="8"/>
      <x:c r="J68" s="8"/>
      <x:c r="K68" s="2" t="str">
        <x:f>IF(OR(E68="",F68="",G68="",H68="",I68="",J68=""),"",IF(E68="Harness blocked","BLOCKED",IF(AND(E68="Present",F68="Supplied"),1,IF(OR(E68="Missing",E68="Not reached"),0,"CHECK"))))</x:f>
      </x:c>
      <x:c r="L68" s="2" t="str">
        <x:f>IF(ISNUMBER(K68),IF(AND(K68=1,I68="No"),1,0),K68)</x:f>
      </x:c>
      <x:c r="M68" s="2" t="n">
        <x:f>IF(ISNUMBER(K68),1,0)</x:f>
        <x:v>0</x:v>
      </x:c>
    </x:row>
    <x:row r="69" ht="24" customHeight="1">
      <x:c r="A69" s="2" t="str">
        <x:v>S08.08</x:v>
      </x:c>
      <x:c r="B69" s="2" t="str">
        <x:v>S08</x:v>
      </x:c>
      <x:c r="C69" s="2" t="str">
        <x:v>gpt_clean</x:v>
      </x:c>
      <x:c r="D69" s="2" t="n">
        <x:v>1</x:v>
      </x:c>
      <x:c r="E69" s="8"/>
      <x:c r="F69" s="8"/>
      <x:c r="G69" s="9"/>
      <x:c r="H69" s="9"/>
      <x:c r="I69" s="8"/>
      <x:c r="J69" s="8"/>
      <x:c r="K69" s="2" t="str">
        <x:f>IF(OR(E69="",F69="",G69="",H69="",I69="",J69=""),"",IF(E69="Harness blocked","BLOCKED",IF(AND(E69="Present",F69="Supplied"),1,IF(OR(E69="Missing",E69="Not reached"),0,"CHECK"))))</x:f>
      </x:c>
      <x:c r="L69" s="2" t="str">
        <x:f>IF(ISNUMBER(K69),IF(AND(K69=1,I69="No"),1,0),K69)</x:f>
      </x:c>
      <x:c r="M69" s="2" t="n">
        <x:f>IF(ISNUMBER(K69),1,0)</x:f>
        <x:v>0</x:v>
      </x:c>
    </x:row>
    <x:row r="70" ht="24" customHeight="1">
      <x:c r="A70" s="2" t="str">
        <x:v>S09.01</x:v>
      </x:c>
      <x:c r="B70" s="2" t="str">
        <x:v>S09</x:v>
      </x:c>
      <x:c r="C70" s="2" t="str">
        <x:v>gpt_clean</x:v>
      </x:c>
      <x:c r="D70" s="2" t="n">
        <x:v>1</x:v>
      </x:c>
      <x:c r="E70" s="8"/>
      <x:c r="F70" s="8"/>
      <x:c r="G70" s="9"/>
      <x:c r="H70" s="9"/>
      <x:c r="I70" s="8"/>
      <x:c r="J70" s="8"/>
      <x:c r="K70" s="2" t="str">
        <x:f>IF(OR(E70="",F70="",G70="",H70="",I70="",J70=""),"",IF(E70="Harness blocked","BLOCKED",IF(AND(E70="Present",F70="Supplied"),1,IF(OR(E70="Missing",E70="Not reached"),0,"CHECK"))))</x:f>
      </x:c>
      <x:c r="L70" s="2" t="str">
        <x:f>IF(ISNUMBER(K70),IF(AND(K70=1,I70="No"),1,0),K70)</x:f>
      </x:c>
      <x:c r="M70" s="2" t="n">
        <x:f>IF(ISNUMBER(K70),1,0)</x:f>
        <x:v>0</x:v>
      </x:c>
    </x:row>
    <x:row r="71" ht="24" customHeight="1">
      <x:c r="A71" s="2" t="str">
        <x:v>S09.02</x:v>
      </x:c>
      <x:c r="B71" s="2" t="str">
        <x:v>S09</x:v>
      </x:c>
      <x:c r="C71" s="2" t="str">
        <x:v>gpt_clean</x:v>
      </x:c>
      <x:c r="D71" s="2" t="n">
        <x:v>1</x:v>
      </x:c>
      <x:c r="E71" s="8"/>
      <x:c r="F71" s="8"/>
      <x:c r="G71" s="9"/>
      <x:c r="H71" s="9"/>
      <x:c r="I71" s="8"/>
      <x:c r="J71" s="8"/>
      <x:c r="K71" s="2" t="str">
        <x:f>IF(OR(E71="",F71="",G71="",H71="",I71="",J71=""),"",IF(E71="Harness blocked","BLOCKED",IF(AND(E71="Present",F71="Supplied"),1,IF(OR(E71="Missing",E71="Not reached"),0,"CHECK"))))</x:f>
      </x:c>
      <x:c r="L71" s="2" t="str">
        <x:f>IF(ISNUMBER(K71),IF(AND(K71=1,I71="No"),1,0),K71)</x:f>
      </x:c>
      <x:c r="M71" s="2" t="n">
        <x:f>IF(ISNUMBER(K71),1,0)</x:f>
        <x:v>0</x:v>
      </x:c>
    </x:row>
    <x:row r="72" ht="24" customHeight="1">
      <x:c r="A72" s="2" t="str">
        <x:v>S09.03</x:v>
      </x:c>
      <x:c r="B72" s="2" t="str">
        <x:v>S09</x:v>
      </x:c>
      <x:c r="C72" s="2" t="str">
        <x:v>gpt_clean</x:v>
      </x:c>
      <x:c r="D72" s="2" t="n">
        <x:v>1</x:v>
      </x:c>
      <x:c r="E72" s="8"/>
      <x:c r="F72" s="8"/>
      <x:c r="G72" s="9"/>
      <x:c r="H72" s="9"/>
      <x:c r="I72" s="8"/>
      <x:c r="J72" s="8"/>
      <x:c r="K72" s="2" t="str">
        <x:f>IF(OR(E72="",F72="",G72="",H72="",I72="",J72=""),"",IF(E72="Harness blocked","BLOCKED",IF(AND(E72="Present",F72="Supplied"),1,IF(OR(E72="Missing",E72="Not reached"),0,"CHECK"))))</x:f>
      </x:c>
      <x:c r="L72" s="2" t="str">
        <x:f>IF(ISNUMBER(K72),IF(AND(K72=1,I72="No"),1,0),K72)</x:f>
      </x:c>
      <x:c r="M72" s="2" t="n">
        <x:f>IF(ISNUMBER(K72),1,0)</x:f>
        <x:v>0</x:v>
      </x:c>
    </x:row>
    <x:row r="73" ht="24" customHeight="1">
      <x:c r="A73" s="2" t="str">
        <x:v>S09.04</x:v>
      </x:c>
      <x:c r="B73" s="2" t="str">
        <x:v>S09</x:v>
      </x:c>
      <x:c r="C73" s="2" t="str">
        <x:v>gpt_clean</x:v>
      </x:c>
      <x:c r="D73" s="2" t="n">
        <x:v>1</x:v>
      </x:c>
      <x:c r="E73" s="8"/>
      <x:c r="F73" s="8"/>
      <x:c r="G73" s="9"/>
      <x:c r="H73" s="9"/>
      <x:c r="I73" s="8"/>
      <x:c r="J73" s="8"/>
      <x:c r="K73" s="2" t="str">
        <x:f>IF(OR(E73="",F73="",G73="",H73="",I73="",J73=""),"",IF(E73="Harness blocked","BLOCKED",IF(AND(E73="Present",F73="Supplied"),1,IF(OR(E73="Missing",E73="Not reached"),0,"CHECK"))))</x:f>
      </x:c>
      <x:c r="L73" s="2" t="str">
        <x:f>IF(ISNUMBER(K73),IF(AND(K73=1,I73="No"),1,0),K73)</x:f>
      </x:c>
      <x:c r="M73" s="2" t="n">
        <x:f>IF(ISNUMBER(K73),1,0)</x:f>
        <x:v>0</x:v>
      </x:c>
    </x:row>
    <x:row r="74" ht="24" customHeight="1">
      <x:c r="A74" s="2" t="str">
        <x:v>S09.05</x:v>
      </x:c>
      <x:c r="B74" s="2" t="str">
        <x:v>S09</x:v>
      </x:c>
      <x:c r="C74" s="2" t="str">
        <x:v>gpt_clean</x:v>
      </x:c>
      <x:c r="D74" s="2" t="n">
        <x:v>1</x:v>
      </x:c>
      <x:c r="E74" s="8"/>
      <x:c r="F74" s="8"/>
      <x:c r="G74" s="9"/>
      <x:c r="H74" s="9"/>
      <x:c r="I74" s="8"/>
      <x:c r="J74" s="8"/>
      <x:c r="K74" s="2" t="str">
        <x:f>IF(OR(E74="",F74="",G74="",H74="",I74="",J74=""),"",IF(E74="Harness blocked","BLOCKED",IF(AND(E74="Present",F74="Supplied"),1,IF(OR(E74="Missing",E74="Not reached"),0,"CHECK"))))</x:f>
      </x:c>
      <x:c r="L74" s="2" t="str">
        <x:f>IF(ISNUMBER(K74),IF(AND(K74=1,I74="No"),1,0),K74)</x:f>
      </x:c>
      <x:c r="M74" s="2" t="n">
        <x:f>IF(ISNUMBER(K74),1,0)</x:f>
        <x:v>0</x:v>
      </x:c>
    </x:row>
    <x:row r="75" ht="24" customHeight="1">
      <x:c r="A75" s="2" t="str">
        <x:v>S09.06</x:v>
      </x:c>
      <x:c r="B75" s="2" t="str">
        <x:v>S09</x:v>
      </x:c>
      <x:c r="C75" s="2" t="str">
        <x:v>gpt_clean</x:v>
      </x:c>
      <x:c r="D75" s="2" t="n">
        <x:v>1</x:v>
      </x:c>
      <x:c r="E75" s="8"/>
      <x:c r="F75" s="8"/>
      <x:c r="G75" s="9"/>
      <x:c r="H75" s="9"/>
      <x:c r="I75" s="8"/>
      <x:c r="J75" s="8"/>
      <x:c r="K75" s="2" t="str">
        <x:f>IF(OR(E75="",F75="",G75="",H75="",I75="",J75=""),"",IF(E75="Harness blocked","BLOCKED",IF(AND(E75="Present",F75="Supplied"),1,IF(OR(E75="Missing",E75="Not reached"),0,"CHECK"))))</x:f>
      </x:c>
      <x:c r="L75" s="2" t="str">
        <x:f>IF(ISNUMBER(K75),IF(AND(K75=1,I75="No"),1,0),K75)</x:f>
      </x:c>
      <x:c r="M75" s="2" t="n">
        <x:f>IF(ISNUMBER(K75),1,0)</x:f>
        <x:v>0</x:v>
      </x:c>
    </x:row>
    <x:row r="76" ht="24" customHeight="1">
      <x:c r="A76" s="2" t="str">
        <x:v>S09.07</x:v>
      </x:c>
      <x:c r="B76" s="2" t="str">
        <x:v>S09</x:v>
      </x:c>
      <x:c r="C76" s="2" t="str">
        <x:v>gpt_clean</x:v>
      </x:c>
      <x:c r="D76" s="2" t="n">
        <x:v>1</x:v>
      </x:c>
      <x:c r="E76" s="8"/>
      <x:c r="F76" s="8"/>
      <x:c r="G76" s="9"/>
      <x:c r="H76" s="9"/>
      <x:c r="I76" s="8"/>
      <x:c r="J76" s="8"/>
      <x:c r="K76" s="2" t="str">
        <x:f>IF(OR(E76="",F76="",G76="",H76="",I76="",J76=""),"",IF(E76="Harness blocked","BLOCKED",IF(AND(E76="Present",F76="Supplied"),1,IF(OR(E76="Missing",E76="Not reached"),0,"CHECK"))))</x:f>
      </x:c>
      <x:c r="L76" s="2" t="str">
        <x:f>IF(ISNUMBER(K76),IF(AND(K76=1,I76="No"),1,0),K76)</x:f>
      </x:c>
      <x:c r="M76" s="2" t="n">
        <x:f>IF(ISNUMBER(K76),1,0)</x:f>
        <x:v>0</x:v>
      </x:c>
    </x:row>
    <x:row r="77" ht="24" customHeight="1">
      <x:c r="A77" s="2" t="str">
        <x:v>S09.08</x:v>
      </x:c>
      <x:c r="B77" s="2" t="str">
        <x:v>S09</x:v>
      </x:c>
      <x:c r="C77" s="2" t="str">
        <x:v>gpt_clean</x:v>
      </x:c>
      <x:c r="D77" s="2" t="n">
        <x:v>1</x:v>
      </x:c>
      <x:c r="E77" s="8"/>
      <x:c r="F77" s="8"/>
      <x:c r="G77" s="9"/>
      <x:c r="H77" s="9"/>
      <x:c r="I77" s="8"/>
      <x:c r="J77" s="8"/>
      <x:c r="K77" s="2" t="str">
        <x:f>IF(OR(E77="",F77="",G77="",H77="",I77="",J77=""),"",IF(E77="Harness blocked","BLOCKED",IF(AND(E77="Present",F77="Supplied"),1,IF(OR(E77="Missing",E77="Not reached"),0,"CHECK"))))</x:f>
      </x:c>
      <x:c r="L77" s="2" t="str">
        <x:f>IF(ISNUMBER(K77),IF(AND(K77=1,I77="No"),1,0),K77)</x:f>
      </x:c>
      <x:c r="M77" s="2" t="n">
        <x:f>IF(ISNUMBER(K77),1,0)</x:f>
        <x:v>0</x:v>
      </x:c>
    </x:row>
    <x:row r="78" ht="24" customHeight="1">
      <x:c r="A78" s="2" t="str">
        <x:v>S10.01</x:v>
      </x:c>
      <x:c r="B78" s="2" t="str">
        <x:v>S10</x:v>
      </x:c>
      <x:c r="C78" s="2" t="str">
        <x:v>gpt_clean</x:v>
      </x:c>
      <x:c r="D78" s="2" t="n">
        <x:v>1</x:v>
      </x:c>
      <x:c r="E78" s="8"/>
      <x:c r="F78" s="8"/>
      <x:c r="G78" s="9"/>
      <x:c r="H78" s="9"/>
      <x:c r="I78" s="8"/>
      <x:c r="J78" s="8"/>
      <x:c r="K78" s="2" t="str">
        <x:f>IF(OR(E78="",F78="",G78="",H78="",I78="",J78=""),"",IF(E78="Harness blocked","BLOCKED",IF(AND(E78="Present",F78="Supplied"),1,IF(OR(E78="Missing",E78="Not reached"),0,"CHECK"))))</x:f>
      </x:c>
      <x:c r="L78" s="2" t="str">
        <x:f>IF(ISNUMBER(K78),IF(AND(K78=1,I78="No"),1,0),K78)</x:f>
      </x:c>
      <x:c r="M78" s="2" t="n">
        <x:f>IF(ISNUMBER(K78),1,0)</x:f>
        <x:v>0</x:v>
      </x:c>
    </x:row>
    <x:row r="79" ht="24" customHeight="1">
      <x:c r="A79" s="2" t="str">
        <x:v>S10.02</x:v>
      </x:c>
      <x:c r="B79" s="2" t="str">
        <x:v>S10</x:v>
      </x:c>
      <x:c r="C79" s="2" t="str">
        <x:v>gpt_clean</x:v>
      </x:c>
      <x:c r="D79" s="2" t="n">
        <x:v>1</x:v>
      </x:c>
      <x:c r="E79" s="8"/>
      <x:c r="F79" s="8"/>
      <x:c r="G79" s="9"/>
      <x:c r="H79" s="9"/>
      <x:c r="I79" s="8"/>
      <x:c r="J79" s="8"/>
      <x:c r="K79" s="2" t="str">
        <x:f>IF(OR(E79="",F79="",G79="",H79="",I79="",J79=""),"",IF(E79="Harness blocked","BLOCKED",IF(AND(E79="Present",F79="Supplied"),1,IF(OR(E79="Missing",E79="Not reached"),0,"CHECK"))))</x:f>
      </x:c>
      <x:c r="L79" s="2" t="str">
        <x:f>IF(ISNUMBER(K79),IF(AND(K79=1,I79="No"),1,0),K79)</x:f>
      </x:c>
      <x:c r="M79" s="2" t="n">
        <x:f>IF(ISNUMBER(K79),1,0)</x:f>
        <x:v>0</x:v>
      </x:c>
    </x:row>
    <x:row r="80" ht="24" customHeight="1">
      <x:c r="A80" s="2" t="str">
        <x:v>S10.03</x:v>
      </x:c>
      <x:c r="B80" s="2" t="str">
        <x:v>S10</x:v>
      </x:c>
      <x:c r="C80" s="2" t="str">
        <x:v>gpt_clean</x:v>
      </x:c>
      <x:c r="D80" s="2" t="n">
        <x:v>1</x:v>
      </x:c>
      <x:c r="E80" s="8"/>
      <x:c r="F80" s="8"/>
      <x:c r="G80" s="9"/>
      <x:c r="H80" s="9"/>
      <x:c r="I80" s="8"/>
      <x:c r="J80" s="8"/>
      <x:c r="K80" s="2" t="str">
        <x:f>IF(OR(E80="",F80="",G80="",H80="",I80="",J80=""),"",IF(E80="Harness blocked","BLOCKED",IF(AND(E80="Present",F80="Supplied"),1,IF(OR(E80="Missing",E80="Not reached"),0,"CHECK"))))</x:f>
      </x:c>
      <x:c r="L80" s="2" t="str">
        <x:f>IF(ISNUMBER(K80),IF(AND(K80=1,I80="No"),1,0),K80)</x:f>
      </x:c>
      <x:c r="M80" s="2" t="n">
        <x:f>IF(ISNUMBER(K80),1,0)</x:f>
        <x:v>0</x:v>
      </x:c>
    </x:row>
    <x:row r="81" ht="24" customHeight="1">
      <x:c r="A81" s="2" t="str">
        <x:v>S10.04</x:v>
      </x:c>
      <x:c r="B81" s="2" t="str">
        <x:v>S10</x:v>
      </x:c>
      <x:c r="C81" s="2" t="str">
        <x:v>gpt_clean</x:v>
      </x:c>
      <x:c r="D81" s="2" t="n">
        <x:v>1</x:v>
      </x:c>
      <x:c r="E81" s="8"/>
      <x:c r="F81" s="8"/>
      <x:c r="G81" s="9"/>
      <x:c r="H81" s="9"/>
      <x:c r="I81" s="8"/>
      <x:c r="J81" s="8"/>
      <x:c r="K81" s="2" t="str">
        <x:f>IF(OR(E81="",F81="",G81="",H81="",I81="",J81=""),"",IF(E81="Harness blocked","BLOCKED",IF(AND(E81="Present",F81="Supplied"),1,IF(OR(E81="Missing",E81="Not reached"),0,"CHECK"))))</x:f>
      </x:c>
      <x:c r="L81" s="2" t="str">
        <x:f>IF(ISNUMBER(K81),IF(AND(K81=1,I81="No"),1,0),K81)</x:f>
      </x:c>
      <x:c r="M81" s="2" t="n">
        <x:f>IF(ISNUMBER(K81),1,0)</x:f>
        <x:v>0</x:v>
      </x:c>
    </x:row>
    <x:row r="82" ht="24" customHeight="1">
      <x:c r="A82" s="2" t="str">
        <x:v>S10.05</x:v>
      </x:c>
      <x:c r="B82" s="2" t="str">
        <x:v>S10</x:v>
      </x:c>
      <x:c r="C82" s="2" t="str">
        <x:v>gpt_clean</x:v>
      </x:c>
      <x:c r="D82" s="2" t="n">
        <x:v>1</x:v>
      </x:c>
      <x:c r="E82" s="8"/>
      <x:c r="F82" s="8"/>
      <x:c r="G82" s="9"/>
      <x:c r="H82" s="9"/>
      <x:c r="I82" s="8"/>
      <x:c r="J82" s="8"/>
      <x:c r="K82" s="2" t="str">
        <x:f>IF(OR(E82="",F82="",G82="",H82="",I82="",J82=""),"",IF(E82="Harness blocked","BLOCKED",IF(AND(E82="Present",F82="Supplied"),1,IF(OR(E82="Missing",E82="Not reached"),0,"CHECK"))))</x:f>
      </x:c>
      <x:c r="L82" s="2" t="str">
        <x:f>IF(ISNUMBER(K82),IF(AND(K82=1,I82="No"),1,0),K82)</x:f>
      </x:c>
      <x:c r="M82" s="2" t="n">
        <x:f>IF(ISNUMBER(K82),1,0)</x:f>
        <x:v>0</x:v>
      </x:c>
    </x:row>
    <x:row r="83" ht="24" customHeight="1">
      <x:c r="A83" s="2" t="str">
        <x:v>S10.06</x:v>
      </x:c>
      <x:c r="B83" s="2" t="str">
        <x:v>S10</x:v>
      </x:c>
      <x:c r="C83" s="2" t="str">
        <x:v>gpt_clean</x:v>
      </x:c>
      <x:c r="D83" s="2" t="n">
        <x:v>1</x:v>
      </x:c>
      <x:c r="E83" s="8"/>
      <x:c r="F83" s="8"/>
      <x:c r="G83" s="9"/>
      <x:c r="H83" s="9"/>
      <x:c r="I83" s="8"/>
      <x:c r="J83" s="8"/>
      <x:c r="K83" s="2" t="str">
        <x:f>IF(OR(E83="",F83="",G83="",H83="",I83="",J83=""),"",IF(E83="Harness blocked","BLOCKED",IF(AND(E83="Present",F83="Supplied"),1,IF(OR(E83="Missing",E83="Not reached"),0,"CHECK"))))</x:f>
      </x:c>
      <x:c r="L83" s="2" t="str">
        <x:f>IF(ISNUMBER(K83),IF(AND(K83=1,I83="No"),1,0),K83)</x:f>
      </x:c>
      <x:c r="M83" s="2" t="n">
        <x:f>IF(ISNUMBER(K83),1,0)</x:f>
        <x:v>0</x:v>
      </x:c>
    </x:row>
    <x:row r="84" ht="24" customHeight="1">
      <x:c r="A84" s="2" t="str">
        <x:v>S10.07</x:v>
      </x:c>
      <x:c r="B84" s="2" t="str">
        <x:v>S10</x:v>
      </x:c>
      <x:c r="C84" s="2" t="str">
        <x:v>gpt_clean</x:v>
      </x:c>
      <x:c r="D84" s="2" t="n">
        <x:v>1</x:v>
      </x:c>
      <x:c r="E84" s="8"/>
      <x:c r="F84" s="8"/>
      <x:c r="G84" s="9"/>
      <x:c r="H84" s="9"/>
      <x:c r="I84" s="8"/>
      <x:c r="J84" s="8"/>
      <x:c r="K84" s="2" t="str">
        <x:f>IF(OR(E84="",F84="",G84="",H84="",I84="",J84=""),"",IF(E84="Harness blocked","BLOCKED",IF(AND(E84="Present",F84="Supplied"),1,IF(OR(E84="Missing",E84="Not reached"),0,"CHECK"))))</x:f>
      </x:c>
      <x:c r="L84" s="2" t="str">
        <x:f>IF(ISNUMBER(K84),IF(AND(K84=1,I84="No"),1,0),K84)</x:f>
      </x:c>
      <x:c r="M84" s="2" t="n">
        <x:f>IF(ISNUMBER(K84),1,0)</x:f>
        <x:v>0</x:v>
      </x:c>
    </x:row>
    <x:row r="85" ht="24" customHeight="1">
      <x:c r="A85" s="2" t="str">
        <x:v>S10.08</x:v>
      </x:c>
      <x:c r="B85" s="2" t="str">
        <x:v>S10</x:v>
      </x:c>
      <x:c r="C85" s="2" t="str">
        <x:v>gpt_clean</x:v>
      </x:c>
      <x:c r="D85" s="2" t="n">
        <x:v>1</x:v>
      </x:c>
      <x:c r="E85" s="8"/>
      <x:c r="F85" s="8"/>
      <x:c r="G85" s="9"/>
      <x:c r="H85" s="9"/>
      <x:c r="I85" s="8"/>
      <x:c r="J85" s="8"/>
      <x:c r="K85" s="2" t="str">
        <x:f>IF(OR(E85="",F85="",G85="",H85="",I85="",J85=""),"",IF(E85="Harness blocked","BLOCKED",IF(AND(E85="Present",F85="Supplied"),1,IF(OR(E85="Missing",E85="Not reached"),0,"CHECK"))))</x:f>
      </x:c>
      <x:c r="L85" s="2" t="str">
        <x:f>IF(ISNUMBER(K85),IF(AND(K85=1,I85="No"),1,0),K85)</x:f>
      </x:c>
      <x:c r="M85" s="2" t="n">
        <x:f>IF(ISNUMBER(K85),1,0)</x:f>
        <x:v>0</x:v>
      </x:c>
    </x:row>
    <x:row r="86" ht="24" customHeight="1">
      <x:c r="A86" s="2" t="str">
        <x:v>S11.01</x:v>
      </x:c>
      <x:c r="B86" s="2" t="str">
        <x:v>S11</x:v>
      </x:c>
      <x:c r="C86" s="2" t="str">
        <x:v>gpt_clean</x:v>
      </x:c>
      <x:c r="D86" s="2" t="n">
        <x:v>1</x:v>
      </x:c>
      <x:c r="E86" s="8"/>
      <x:c r="F86" s="8"/>
      <x:c r="G86" s="9"/>
      <x:c r="H86" s="9"/>
      <x:c r="I86" s="8"/>
      <x:c r="J86" s="8"/>
      <x:c r="K86" s="2" t="str">
        <x:f>IF(OR(E86="",F86="",G86="",H86="",I86="",J86=""),"",IF(E86="Harness blocked","BLOCKED",IF(AND(E86="Present",F86="Supplied"),1,IF(OR(E86="Missing",E86="Not reached"),0,"CHECK"))))</x:f>
      </x:c>
      <x:c r="L86" s="2" t="str">
        <x:f>IF(ISNUMBER(K86),IF(AND(K86=1,I86="No"),1,0),K86)</x:f>
      </x:c>
      <x:c r="M86" s="2" t="n">
        <x:f>IF(ISNUMBER(K86),1,0)</x:f>
        <x:v>0</x:v>
      </x:c>
    </x:row>
    <x:row r="87" ht="24" customHeight="1">
      <x:c r="A87" s="2" t="str">
        <x:v>S11.02</x:v>
      </x:c>
      <x:c r="B87" s="2" t="str">
        <x:v>S11</x:v>
      </x:c>
      <x:c r="C87" s="2" t="str">
        <x:v>gpt_clean</x:v>
      </x:c>
      <x:c r="D87" s="2" t="n">
        <x:v>1</x:v>
      </x:c>
      <x:c r="E87" s="8"/>
      <x:c r="F87" s="8"/>
      <x:c r="G87" s="9"/>
      <x:c r="H87" s="9"/>
      <x:c r="I87" s="8"/>
      <x:c r="J87" s="8"/>
      <x:c r="K87" s="2" t="str">
        <x:f>IF(OR(E87="",F87="",G87="",H87="",I87="",J87=""),"",IF(E87="Harness blocked","BLOCKED",IF(AND(E87="Present",F87="Supplied"),1,IF(OR(E87="Missing",E87="Not reached"),0,"CHECK"))))</x:f>
      </x:c>
      <x:c r="L87" s="2" t="str">
        <x:f>IF(ISNUMBER(K87),IF(AND(K87=1,I87="No"),1,0),K87)</x:f>
      </x:c>
      <x:c r="M87" s="2" t="n">
        <x:f>IF(ISNUMBER(K87),1,0)</x:f>
        <x:v>0</x:v>
      </x:c>
    </x:row>
    <x:row r="88" ht="24" customHeight="1">
      <x:c r="A88" s="2" t="str">
        <x:v>S11.03</x:v>
      </x:c>
      <x:c r="B88" s="2" t="str">
        <x:v>S11</x:v>
      </x:c>
      <x:c r="C88" s="2" t="str">
        <x:v>gpt_clean</x:v>
      </x:c>
      <x:c r="D88" s="2" t="n">
        <x:v>1</x:v>
      </x:c>
      <x:c r="E88" s="8"/>
      <x:c r="F88" s="8"/>
      <x:c r="G88" s="9"/>
      <x:c r="H88" s="9"/>
      <x:c r="I88" s="8"/>
      <x:c r="J88" s="8"/>
      <x:c r="K88" s="2" t="str">
        <x:f>IF(OR(E88="",F88="",G88="",H88="",I88="",J88=""),"",IF(E88="Harness blocked","BLOCKED",IF(AND(E88="Present",F88="Supplied"),1,IF(OR(E88="Missing",E88="Not reached"),0,"CHECK"))))</x:f>
      </x:c>
      <x:c r="L88" s="2" t="str">
        <x:f>IF(ISNUMBER(K88),IF(AND(K88=1,I88="No"),1,0),K88)</x:f>
      </x:c>
      <x:c r="M88" s="2" t="n">
        <x:f>IF(ISNUMBER(K88),1,0)</x:f>
        <x:v>0</x:v>
      </x:c>
    </x:row>
    <x:row r="89" ht="24" customHeight="1">
      <x:c r="A89" s="2" t="str">
        <x:v>S11.04</x:v>
      </x:c>
      <x:c r="B89" s="2" t="str">
        <x:v>S11</x:v>
      </x:c>
      <x:c r="C89" s="2" t="str">
        <x:v>gpt_clean</x:v>
      </x:c>
      <x:c r="D89" s="2" t="n">
        <x:v>1</x:v>
      </x:c>
      <x:c r="E89" s="8"/>
      <x:c r="F89" s="8"/>
      <x:c r="G89" s="9"/>
      <x:c r="H89" s="9"/>
      <x:c r="I89" s="8"/>
      <x:c r="J89" s="8"/>
      <x:c r="K89" s="2" t="str">
        <x:f>IF(OR(E89="",F89="",G89="",H89="",I89="",J89=""),"",IF(E89="Harness blocked","BLOCKED",IF(AND(E89="Present",F89="Supplied"),1,IF(OR(E89="Missing",E89="Not reached"),0,"CHECK"))))</x:f>
      </x:c>
      <x:c r="L89" s="2" t="str">
        <x:f>IF(ISNUMBER(K89),IF(AND(K89=1,I89="No"),1,0),K89)</x:f>
      </x:c>
      <x:c r="M89" s="2" t="n">
        <x:f>IF(ISNUMBER(K89),1,0)</x:f>
        <x:v>0</x:v>
      </x:c>
    </x:row>
    <x:row r="90" ht="24" customHeight="1">
      <x:c r="A90" s="2" t="str">
        <x:v>S11.05</x:v>
      </x:c>
      <x:c r="B90" s="2" t="str">
        <x:v>S11</x:v>
      </x:c>
      <x:c r="C90" s="2" t="str">
        <x:v>gpt_clean</x:v>
      </x:c>
      <x:c r="D90" s="2" t="n">
        <x:v>1</x:v>
      </x:c>
      <x:c r="E90" s="8"/>
      <x:c r="F90" s="8"/>
      <x:c r="G90" s="9"/>
      <x:c r="H90" s="9"/>
      <x:c r="I90" s="8"/>
      <x:c r="J90" s="8"/>
      <x:c r="K90" s="2" t="str">
        <x:f>IF(OR(E90="",F90="",G90="",H90="",I90="",J90=""),"",IF(E90="Harness blocked","BLOCKED",IF(AND(E90="Present",F90="Supplied"),1,IF(OR(E90="Missing",E90="Not reached"),0,"CHECK"))))</x:f>
      </x:c>
      <x:c r="L90" s="2" t="str">
        <x:f>IF(ISNUMBER(K90),IF(AND(K90=1,I90="No"),1,0),K90)</x:f>
      </x:c>
      <x:c r="M90" s="2" t="n">
        <x:f>IF(ISNUMBER(K90),1,0)</x:f>
        <x:v>0</x:v>
      </x:c>
    </x:row>
    <x:row r="91" ht="24" customHeight="1">
      <x:c r="A91" s="2" t="str">
        <x:v>S11.06</x:v>
      </x:c>
      <x:c r="B91" s="2" t="str">
        <x:v>S11</x:v>
      </x:c>
      <x:c r="C91" s="2" t="str">
        <x:v>gpt_clean</x:v>
      </x:c>
      <x:c r="D91" s="2" t="n">
        <x:v>1</x:v>
      </x:c>
      <x:c r="E91" s="8"/>
      <x:c r="F91" s="8"/>
      <x:c r="G91" s="9"/>
      <x:c r="H91" s="9"/>
      <x:c r="I91" s="8"/>
      <x:c r="J91" s="8"/>
      <x:c r="K91" s="2" t="str">
        <x:f>IF(OR(E91="",F91="",G91="",H91="",I91="",J91=""),"",IF(E91="Harness blocked","BLOCKED",IF(AND(E91="Present",F91="Supplied"),1,IF(OR(E91="Missing",E91="Not reached"),0,"CHECK"))))</x:f>
      </x:c>
      <x:c r="L91" s="2" t="str">
        <x:f>IF(ISNUMBER(K91),IF(AND(K91=1,I91="No"),1,0),K91)</x:f>
      </x:c>
      <x:c r="M91" s="2" t="n">
        <x:f>IF(ISNUMBER(K91),1,0)</x:f>
        <x:v>0</x:v>
      </x:c>
    </x:row>
    <x:row r="92" ht="24" customHeight="1">
      <x:c r="A92" s="2" t="str">
        <x:v>S11.07</x:v>
      </x:c>
      <x:c r="B92" s="2" t="str">
        <x:v>S11</x:v>
      </x:c>
      <x:c r="C92" s="2" t="str">
        <x:v>gpt_clean</x:v>
      </x:c>
      <x:c r="D92" s="2" t="n">
        <x:v>1</x:v>
      </x:c>
      <x:c r="E92" s="8"/>
      <x:c r="F92" s="8"/>
      <x:c r="G92" s="9"/>
      <x:c r="H92" s="9"/>
      <x:c r="I92" s="8"/>
      <x:c r="J92" s="8"/>
      <x:c r="K92" s="2" t="str">
        <x:f>IF(OR(E92="",F92="",G92="",H92="",I92="",J92=""),"",IF(E92="Harness blocked","BLOCKED",IF(AND(E92="Present",F92="Supplied"),1,IF(OR(E92="Missing",E92="Not reached"),0,"CHECK"))))</x:f>
      </x:c>
      <x:c r="L92" s="2" t="str">
        <x:f>IF(ISNUMBER(K92),IF(AND(K92=1,I92="No"),1,0),K92)</x:f>
      </x:c>
      <x:c r="M92" s="2" t="n">
        <x:f>IF(ISNUMBER(K92),1,0)</x:f>
        <x:v>0</x:v>
      </x:c>
    </x:row>
    <x:row r="93" ht="24" customHeight="1">
      <x:c r="A93" s="2" t="str">
        <x:v>S11.08</x:v>
      </x:c>
      <x:c r="B93" s="2" t="str">
        <x:v>S11</x:v>
      </x:c>
      <x:c r="C93" s="2" t="str">
        <x:v>gpt_clean</x:v>
      </x:c>
      <x:c r="D93" s="2" t="n">
        <x:v>1</x:v>
      </x:c>
      <x:c r="E93" s="8"/>
      <x:c r="F93" s="8"/>
      <x:c r="G93" s="9"/>
      <x:c r="H93" s="9"/>
      <x:c r="I93" s="8"/>
      <x:c r="J93" s="8"/>
      <x:c r="K93" s="2" t="str">
        <x:f>IF(OR(E93="",F93="",G93="",H93="",I93="",J93=""),"",IF(E93="Harness blocked","BLOCKED",IF(AND(E93="Present",F93="Supplied"),1,IF(OR(E93="Missing",E93="Not reached"),0,"CHECK"))))</x:f>
      </x:c>
      <x:c r="L93" s="2" t="str">
        <x:f>IF(ISNUMBER(K93),IF(AND(K93=1,I93="No"),1,0),K93)</x:f>
      </x:c>
      <x:c r="M93" s="2" t="n">
        <x:f>IF(ISNUMBER(K93),1,0)</x:f>
        <x:v>0</x:v>
      </x:c>
    </x:row>
    <x:row r="94" ht="24" customHeight="1">
      <x:c r="A94" s="2" t="str">
        <x:v>S12.01</x:v>
      </x:c>
      <x:c r="B94" s="2" t="str">
        <x:v>S12</x:v>
      </x:c>
      <x:c r="C94" s="2" t="str">
        <x:v>gpt_clean</x:v>
      </x:c>
      <x:c r="D94" s="2" t="n">
        <x:v>1</x:v>
      </x:c>
      <x:c r="E94" s="8"/>
      <x:c r="F94" s="8"/>
      <x:c r="G94" s="9"/>
      <x:c r="H94" s="9"/>
      <x:c r="I94" s="8"/>
      <x:c r="J94" s="8"/>
      <x:c r="K94" s="2" t="str">
        <x:f>IF(OR(E94="",F94="",G94="",H94="",I94="",J94=""),"",IF(E94="Harness blocked","BLOCKED",IF(AND(E94="Present",F94="Supplied"),1,IF(OR(E94="Missing",E94="Not reached"),0,"CHECK"))))</x:f>
      </x:c>
      <x:c r="L94" s="2" t="str">
        <x:f>IF(ISNUMBER(K94),IF(AND(K94=1,I94="No"),1,0),K94)</x:f>
      </x:c>
      <x:c r="M94" s="2" t="n">
        <x:f>IF(ISNUMBER(K94),1,0)</x:f>
        <x:v>0</x:v>
      </x:c>
    </x:row>
    <x:row r="95" ht="24" customHeight="1">
      <x:c r="A95" s="2" t="str">
        <x:v>S12.02</x:v>
      </x:c>
      <x:c r="B95" s="2" t="str">
        <x:v>S12</x:v>
      </x:c>
      <x:c r="C95" s="2" t="str">
        <x:v>gpt_clean</x:v>
      </x:c>
      <x:c r="D95" s="2" t="n">
        <x:v>1</x:v>
      </x:c>
      <x:c r="E95" s="8"/>
      <x:c r="F95" s="8"/>
      <x:c r="G95" s="9"/>
      <x:c r="H95" s="9"/>
      <x:c r="I95" s="8"/>
      <x:c r="J95" s="8"/>
      <x:c r="K95" s="2" t="str">
        <x:f>IF(OR(E95="",F95="",G95="",H95="",I95="",J95=""),"",IF(E95="Harness blocked","BLOCKED",IF(AND(E95="Present",F95="Supplied"),1,IF(OR(E95="Missing",E95="Not reached"),0,"CHECK"))))</x:f>
      </x:c>
      <x:c r="L95" s="2" t="str">
        <x:f>IF(ISNUMBER(K95),IF(AND(K95=1,I95="No"),1,0),K95)</x:f>
      </x:c>
      <x:c r="M95" s="2" t="n">
        <x:f>IF(ISNUMBER(K95),1,0)</x:f>
        <x:v>0</x:v>
      </x:c>
    </x:row>
    <x:row r="96" ht="24" customHeight="1">
      <x:c r="A96" s="2" t="str">
        <x:v>S12.03</x:v>
      </x:c>
      <x:c r="B96" s="2" t="str">
        <x:v>S12</x:v>
      </x:c>
      <x:c r="C96" s="2" t="str">
        <x:v>gpt_clean</x:v>
      </x:c>
      <x:c r="D96" s="2" t="n">
        <x:v>1</x:v>
      </x:c>
      <x:c r="E96" s="8"/>
      <x:c r="F96" s="8"/>
      <x:c r="G96" s="9"/>
      <x:c r="H96" s="9"/>
      <x:c r="I96" s="8"/>
      <x:c r="J96" s="8"/>
      <x:c r="K96" s="2" t="str">
        <x:f>IF(OR(E96="",F96="",G96="",H96="",I96="",J96=""),"",IF(E96="Harness blocked","BLOCKED",IF(AND(E96="Present",F96="Supplied"),1,IF(OR(E96="Missing",E96="Not reached"),0,"CHECK"))))</x:f>
      </x:c>
      <x:c r="L96" s="2" t="str">
        <x:f>IF(ISNUMBER(K96),IF(AND(K96=1,I96="No"),1,0),K96)</x:f>
      </x:c>
      <x:c r="M96" s="2" t="n">
        <x:f>IF(ISNUMBER(K96),1,0)</x:f>
        <x:v>0</x:v>
      </x:c>
    </x:row>
    <x:row r="97" ht="24" customHeight="1">
      <x:c r="A97" s="2" t="str">
        <x:v>S12.04</x:v>
      </x:c>
      <x:c r="B97" s="2" t="str">
        <x:v>S12</x:v>
      </x:c>
      <x:c r="C97" s="2" t="str">
        <x:v>gpt_clean</x:v>
      </x:c>
      <x:c r="D97" s="2" t="n">
        <x:v>1</x:v>
      </x:c>
      <x:c r="E97" s="8"/>
      <x:c r="F97" s="8"/>
      <x:c r="G97" s="9"/>
      <x:c r="H97" s="9"/>
      <x:c r="I97" s="8"/>
      <x:c r="J97" s="8"/>
      <x:c r="K97" s="2" t="str">
        <x:f>IF(OR(E97="",F97="",G97="",H97="",I97="",J97=""),"",IF(E97="Harness blocked","BLOCKED",IF(AND(E97="Present",F97="Supplied"),1,IF(OR(E97="Missing",E97="Not reached"),0,"CHECK"))))</x:f>
      </x:c>
      <x:c r="L97" s="2" t="str">
        <x:f>IF(ISNUMBER(K97),IF(AND(K97=1,I97="No"),1,0),K97)</x:f>
      </x:c>
      <x:c r="M97" s="2" t="n">
        <x:f>IF(ISNUMBER(K97),1,0)</x:f>
        <x:v>0</x:v>
      </x:c>
    </x:row>
    <x:row r="98" ht="24" customHeight="1">
      <x:c r="A98" s="2" t="str">
        <x:v>S12.05</x:v>
      </x:c>
      <x:c r="B98" s="2" t="str">
        <x:v>S12</x:v>
      </x:c>
      <x:c r="C98" s="2" t="str">
        <x:v>gpt_clean</x:v>
      </x:c>
      <x:c r="D98" s="2" t="n">
        <x:v>1</x:v>
      </x:c>
      <x:c r="E98" s="8"/>
      <x:c r="F98" s="8"/>
      <x:c r="G98" s="9"/>
      <x:c r="H98" s="9"/>
      <x:c r="I98" s="8"/>
      <x:c r="J98" s="8"/>
      <x:c r="K98" s="2" t="str">
        <x:f>IF(OR(E98="",F98="",G98="",H98="",I98="",J98=""),"",IF(E98="Harness blocked","BLOCKED",IF(AND(E98="Present",F98="Supplied"),1,IF(OR(E98="Missing",E98="Not reached"),0,"CHECK"))))</x:f>
      </x:c>
      <x:c r="L98" s="2" t="str">
        <x:f>IF(ISNUMBER(K98),IF(AND(K98=1,I98="No"),1,0),K98)</x:f>
      </x:c>
      <x:c r="M98" s="2" t="n">
        <x:f>IF(ISNUMBER(K98),1,0)</x:f>
        <x:v>0</x:v>
      </x:c>
    </x:row>
    <x:row r="99" ht="24" customHeight="1">
      <x:c r="A99" s="2" t="str">
        <x:v>S12.06</x:v>
      </x:c>
      <x:c r="B99" s="2" t="str">
        <x:v>S12</x:v>
      </x:c>
      <x:c r="C99" s="2" t="str">
        <x:v>gpt_clean</x:v>
      </x:c>
      <x:c r="D99" s="2" t="n">
        <x:v>1</x:v>
      </x:c>
      <x:c r="E99" s="8"/>
      <x:c r="F99" s="8"/>
      <x:c r="G99" s="9"/>
      <x:c r="H99" s="9"/>
      <x:c r="I99" s="8"/>
      <x:c r="J99" s="8"/>
      <x:c r="K99" s="2" t="str">
        <x:f>IF(OR(E99="",F99="",G99="",H99="",I99="",J99=""),"",IF(E99="Harness blocked","BLOCKED",IF(AND(E99="Present",F99="Supplied"),1,IF(OR(E99="Missing",E99="Not reached"),0,"CHECK"))))</x:f>
      </x:c>
      <x:c r="L99" s="2" t="str">
        <x:f>IF(ISNUMBER(K99),IF(AND(K99=1,I99="No"),1,0),K99)</x:f>
      </x:c>
      <x:c r="M99" s="2" t="n">
        <x:f>IF(ISNUMBER(K99),1,0)</x:f>
        <x:v>0</x:v>
      </x:c>
    </x:row>
    <x:row r="100" ht="24" customHeight="1">
      <x:c r="A100" s="2" t="str">
        <x:v>S12.07</x:v>
      </x:c>
      <x:c r="B100" s="2" t="str">
        <x:v>S12</x:v>
      </x:c>
      <x:c r="C100" s="2" t="str">
        <x:v>gpt_clean</x:v>
      </x:c>
      <x:c r="D100" s="2" t="n">
        <x:v>1</x:v>
      </x:c>
      <x:c r="E100" s="8"/>
      <x:c r="F100" s="8"/>
      <x:c r="G100" s="9"/>
      <x:c r="H100" s="9"/>
      <x:c r="I100" s="8"/>
      <x:c r="J100" s="8"/>
      <x:c r="K100" s="2" t="str">
        <x:f>IF(OR(E100="",F100="",G100="",H100="",I100="",J100=""),"",IF(E100="Harness blocked","BLOCKED",IF(AND(E100="Present",F100="Supplied"),1,IF(OR(E100="Missing",E100="Not reached"),0,"CHECK"))))</x:f>
      </x:c>
      <x:c r="L100" s="2" t="str">
        <x:f>IF(ISNUMBER(K100),IF(AND(K100=1,I100="No"),1,0),K100)</x:f>
      </x:c>
      <x:c r="M100" s="2" t="n">
        <x:f>IF(ISNUMBER(K100),1,0)</x:f>
        <x:v>0</x:v>
      </x:c>
    </x:row>
    <x:row r="101" ht="24" customHeight="1">
      <x:c r="A101" s="2" t="str">
        <x:v>S12.08</x:v>
      </x:c>
      <x:c r="B101" s="2" t="str">
        <x:v>S12</x:v>
      </x:c>
      <x:c r="C101" s="2" t="str">
        <x:v>gpt_clean</x:v>
      </x:c>
      <x:c r="D101" s="2" t="n">
        <x:v>1</x:v>
      </x:c>
      <x:c r="E101" s="8"/>
      <x:c r="F101" s="8"/>
      <x:c r="G101" s="9"/>
      <x:c r="H101" s="9"/>
      <x:c r="I101" s="8"/>
      <x:c r="J101" s="8"/>
      <x:c r="K101" s="2" t="str">
        <x:f>IF(OR(E101="",F101="",G101="",H101="",I101="",J101=""),"",IF(E101="Harness blocked","BLOCKED",IF(AND(E101="Present",F101="Supplied"),1,IF(OR(E101="Missing",E101="Not reached"),0,"CHECK"))))</x:f>
      </x:c>
      <x:c r="L101" s="2" t="str">
        <x:f>IF(ISNUMBER(K101),IF(AND(K101=1,I101="No"),1,0),K101)</x:f>
      </x:c>
      <x:c r="M101" s="2" t="n">
        <x:f>IF(ISNUMBER(K101),1,0)</x:f>
        <x:v>0</x:v>
      </x:c>
    </x:row>
    <x:row r="102" ht="24" customHeight="1">
      <x:c r="A102" s="2" t="str">
        <x:v>S01.01</x:v>
      </x:c>
      <x:c r="B102" s="2" t="str">
        <x:v>S01</x:v>
      </x:c>
      <x:c r="C102" s="2" t="str">
        <x:v>gpt_clean</x:v>
      </x:c>
      <x:c r="D102" s="2" t="n">
        <x:v>2</x:v>
      </x:c>
      <x:c r="E102" s="8"/>
      <x:c r="F102" s="8"/>
      <x:c r="G102" s="9"/>
      <x:c r="H102" s="9"/>
      <x:c r="I102" s="8"/>
      <x:c r="J102" s="8"/>
      <x:c r="K102" s="2" t="str">
        <x:f>IF(OR(E102="",F102="",G102="",H102="",I102="",J102=""),"",IF(E102="Harness blocked","BLOCKED",IF(AND(E102="Present",F102="Supplied"),1,IF(OR(E102="Missing",E102="Not reached"),0,"CHECK"))))</x:f>
      </x:c>
      <x:c r="L102" s="2" t="str">
        <x:f>IF(ISNUMBER(K102),IF(AND(K102=1,I102="No"),1,0),K102)</x:f>
      </x:c>
      <x:c r="M102" s="2" t="n">
        <x:f>IF(ISNUMBER(K102),1,0)</x:f>
        <x:v>0</x:v>
      </x:c>
    </x:row>
    <x:row r="103" ht="24" customHeight="1">
      <x:c r="A103" s="2" t="str">
        <x:v>S01.02</x:v>
      </x:c>
      <x:c r="B103" s="2" t="str">
        <x:v>S01</x:v>
      </x:c>
      <x:c r="C103" s="2" t="str">
        <x:v>gpt_clean</x:v>
      </x:c>
      <x:c r="D103" s="2" t="n">
        <x:v>2</x:v>
      </x:c>
      <x:c r="E103" s="8"/>
      <x:c r="F103" s="8"/>
      <x:c r="G103" s="9"/>
      <x:c r="H103" s="9"/>
      <x:c r="I103" s="8"/>
      <x:c r="J103" s="8"/>
      <x:c r="K103" s="2" t="str">
        <x:f>IF(OR(E103="",F103="",G103="",H103="",I103="",J103=""),"",IF(E103="Harness blocked","BLOCKED",IF(AND(E103="Present",F103="Supplied"),1,IF(OR(E103="Missing",E103="Not reached"),0,"CHECK"))))</x:f>
      </x:c>
      <x:c r="L103" s="2" t="str">
        <x:f>IF(ISNUMBER(K103),IF(AND(K103=1,I103="No"),1,0),K103)</x:f>
      </x:c>
      <x:c r="M103" s="2" t="n">
        <x:f>IF(ISNUMBER(K103),1,0)</x:f>
        <x:v>0</x:v>
      </x:c>
    </x:row>
    <x:row r="104" ht="24" customHeight="1">
      <x:c r="A104" s="2" t="str">
        <x:v>S01.03</x:v>
      </x:c>
      <x:c r="B104" s="2" t="str">
        <x:v>S01</x:v>
      </x:c>
      <x:c r="C104" s="2" t="str">
        <x:v>gpt_clean</x:v>
      </x:c>
      <x:c r="D104" s="2" t="n">
        <x:v>2</x:v>
      </x:c>
      <x:c r="E104" s="8"/>
      <x:c r="F104" s="8"/>
      <x:c r="G104" s="9"/>
      <x:c r="H104" s="9"/>
      <x:c r="I104" s="8"/>
      <x:c r="J104" s="8"/>
      <x:c r="K104" s="2" t="str">
        <x:f>IF(OR(E104="",F104="",G104="",H104="",I104="",J104=""),"",IF(E104="Harness blocked","BLOCKED",IF(AND(E104="Present",F104="Supplied"),1,IF(OR(E104="Missing",E104="Not reached"),0,"CHECK"))))</x:f>
      </x:c>
      <x:c r="L104" s="2" t="str">
        <x:f>IF(ISNUMBER(K104),IF(AND(K104=1,I104="No"),1,0),K104)</x:f>
      </x:c>
      <x:c r="M104" s="2" t="n">
        <x:f>IF(ISNUMBER(K104),1,0)</x:f>
        <x:v>0</x:v>
      </x:c>
    </x:row>
    <x:row r="105" ht="24" customHeight="1">
      <x:c r="A105" s="2" t="str">
        <x:v>S01.04</x:v>
      </x:c>
      <x:c r="B105" s="2" t="str">
        <x:v>S01</x:v>
      </x:c>
      <x:c r="C105" s="2" t="str">
        <x:v>gpt_clean</x:v>
      </x:c>
      <x:c r="D105" s="2" t="n">
        <x:v>2</x:v>
      </x:c>
      <x:c r="E105" s="8"/>
      <x:c r="F105" s="8"/>
      <x:c r="G105" s="9"/>
      <x:c r="H105" s="9"/>
      <x:c r="I105" s="8"/>
      <x:c r="J105" s="8"/>
      <x:c r="K105" s="2" t="str">
        <x:f>IF(OR(E105="",F105="",G105="",H105="",I105="",J105=""),"",IF(E105="Harness blocked","BLOCKED",IF(AND(E105="Present",F105="Supplied"),1,IF(OR(E105="Missing",E105="Not reached"),0,"CHECK"))))</x:f>
      </x:c>
      <x:c r="L105" s="2" t="str">
        <x:f>IF(ISNUMBER(K105),IF(AND(K105=1,I105="No"),1,0),K105)</x:f>
      </x:c>
      <x:c r="M105" s="2" t="n">
        <x:f>IF(ISNUMBER(K105),1,0)</x:f>
        <x:v>0</x:v>
      </x:c>
    </x:row>
    <x:row r="106" ht="24" customHeight="1">
      <x:c r="A106" s="2" t="str">
        <x:v>S01.05</x:v>
      </x:c>
      <x:c r="B106" s="2" t="str">
        <x:v>S01</x:v>
      </x:c>
      <x:c r="C106" s="2" t="str">
        <x:v>gpt_clean</x:v>
      </x:c>
      <x:c r="D106" s="2" t="n">
        <x:v>2</x:v>
      </x:c>
      <x:c r="E106" s="8"/>
      <x:c r="F106" s="8"/>
      <x:c r="G106" s="9"/>
      <x:c r="H106" s="9"/>
      <x:c r="I106" s="8"/>
      <x:c r="J106" s="8"/>
      <x:c r="K106" s="2" t="str">
        <x:f>IF(OR(E106="",F106="",G106="",H106="",I106="",J106=""),"",IF(E106="Harness blocked","BLOCKED",IF(AND(E106="Present",F106="Supplied"),1,IF(OR(E106="Missing",E106="Not reached"),0,"CHECK"))))</x:f>
      </x:c>
      <x:c r="L106" s="2" t="str">
        <x:f>IF(ISNUMBER(K106),IF(AND(K106=1,I106="No"),1,0),K106)</x:f>
      </x:c>
      <x:c r="M106" s="2" t="n">
        <x:f>IF(ISNUMBER(K106),1,0)</x:f>
        <x:v>0</x:v>
      </x:c>
    </x:row>
    <x:row r="107" ht="24" customHeight="1">
      <x:c r="A107" s="2" t="str">
        <x:v>S01.06</x:v>
      </x:c>
      <x:c r="B107" s="2" t="str">
        <x:v>S01</x:v>
      </x:c>
      <x:c r="C107" s="2" t="str">
        <x:v>gpt_clean</x:v>
      </x:c>
      <x:c r="D107" s="2" t="n">
        <x:v>2</x:v>
      </x:c>
      <x:c r="E107" s="8"/>
      <x:c r="F107" s="8"/>
      <x:c r="G107" s="9"/>
      <x:c r="H107" s="9"/>
      <x:c r="I107" s="8"/>
      <x:c r="J107" s="8"/>
      <x:c r="K107" s="2" t="str">
        <x:f>IF(OR(E107="",F107="",G107="",H107="",I107="",J107=""),"",IF(E107="Harness blocked","BLOCKED",IF(AND(E107="Present",F107="Supplied"),1,IF(OR(E107="Missing",E107="Not reached"),0,"CHECK"))))</x:f>
      </x:c>
      <x:c r="L107" s="2" t="str">
        <x:f>IF(ISNUMBER(K107),IF(AND(K107=1,I107="No"),1,0),K107)</x:f>
      </x:c>
      <x:c r="M107" s="2" t="n">
        <x:f>IF(ISNUMBER(K107),1,0)</x:f>
        <x:v>0</x:v>
      </x:c>
    </x:row>
    <x:row r="108" ht="24" customHeight="1">
      <x:c r="A108" s="2" t="str">
        <x:v>S01.07</x:v>
      </x:c>
      <x:c r="B108" s="2" t="str">
        <x:v>S01</x:v>
      </x:c>
      <x:c r="C108" s="2" t="str">
        <x:v>gpt_clean</x:v>
      </x:c>
      <x:c r="D108" s="2" t="n">
        <x:v>2</x:v>
      </x:c>
      <x:c r="E108" s="8"/>
      <x:c r="F108" s="8"/>
      <x:c r="G108" s="9"/>
      <x:c r="H108" s="9"/>
      <x:c r="I108" s="8"/>
      <x:c r="J108" s="8"/>
      <x:c r="K108" s="2" t="str">
        <x:f>IF(OR(E108="",F108="",G108="",H108="",I108="",J108=""),"",IF(E108="Harness blocked","BLOCKED",IF(AND(E108="Present",F108="Supplied"),1,IF(OR(E108="Missing",E108="Not reached"),0,"CHECK"))))</x:f>
      </x:c>
      <x:c r="L108" s="2" t="str">
        <x:f>IF(ISNUMBER(K108),IF(AND(K108=1,I108="No"),1,0),K108)</x:f>
      </x:c>
      <x:c r="M108" s="2" t="n">
        <x:f>IF(ISNUMBER(K108),1,0)</x:f>
        <x:v>0</x:v>
      </x:c>
    </x:row>
    <x:row r="109" ht="24" customHeight="1">
      <x:c r="A109" s="2" t="str">
        <x:v>S01.08</x:v>
      </x:c>
      <x:c r="B109" s="2" t="str">
        <x:v>S01</x:v>
      </x:c>
      <x:c r="C109" s="2" t="str">
        <x:v>gpt_clean</x:v>
      </x:c>
      <x:c r="D109" s="2" t="n">
        <x:v>2</x:v>
      </x:c>
      <x:c r="E109" s="8"/>
      <x:c r="F109" s="8"/>
      <x:c r="G109" s="9"/>
      <x:c r="H109" s="9"/>
      <x:c r="I109" s="8"/>
      <x:c r="J109" s="8"/>
      <x:c r="K109" s="2" t="str">
        <x:f>IF(OR(E109="",F109="",G109="",H109="",I109="",J109=""),"",IF(E109="Harness blocked","BLOCKED",IF(AND(E109="Present",F109="Supplied"),1,IF(OR(E109="Missing",E109="Not reached"),0,"CHECK"))))</x:f>
      </x:c>
      <x:c r="L109" s="2" t="str">
        <x:f>IF(ISNUMBER(K109),IF(AND(K109=1,I109="No"),1,0),K109)</x:f>
      </x:c>
      <x:c r="M109" s="2" t="n">
        <x:f>IF(ISNUMBER(K109),1,0)</x:f>
        <x:v>0</x:v>
      </x:c>
    </x:row>
    <x:row r="110" ht="24" customHeight="1">
      <x:c r="A110" s="2" t="str">
        <x:v>S02.01</x:v>
      </x:c>
      <x:c r="B110" s="2" t="str">
        <x:v>S02</x:v>
      </x:c>
      <x:c r="C110" s="2" t="str">
        <x:v>gpt_clean</x:v>
      </x:c>
      <x:c r="D110" s="2" t="n">
        <x:v>2</x:v>
      </x:c>
      <x:c r="E110" s="8"/>
      <x:c r="F110" s="8"/>
      <x:c r="G110" s="9"/>
      <x:c r="H110" s="9"/>
      <x:c r="I110" s="8"/>
      <x:c r="J110" s="8"/>
      <x:c r="K110" s="2" t="str">
        <x:f>IF(OR(E110="",F110="",G110="",H110="",I110="",J110=""),"",IF(E110="Harness blocked","BLOCKED",IF(AND(E110="Present",F110="Supplied"),1,IF(OR(E110="Missing",E110="Not reached"),0,"CHECK"))))</x:f>
      </x:c>
      <x:c r="L110" s="2" t="str">
        <x:f>IF(ISNUMBER(K110),IF(AND(K110=1,I110="No"),1,0),K110)</x:f>
      </x:c>
      <x:c r="M110" s="2" t="n">
        <x:f>IF(ISNUMBER(K110),1,0)</x:f>
        <x:v>0</x:v>
      </x:c>
    </x:row>
    <x:row r="111" ht="24" customHeight="1">
      <x:c r="A111" s="2" t="str">
        <x:v>S02.02</x:v>
      </x:c>
      <x:c r="B111" s="2" t="str">
        <x:v>S02</x:v>
      </x:c>
      <x:c r="C111" s="2" t="str">
        <x:v>gpt_clean</x:v>
      </x:c>
      <x:c r="D111" s="2" t="n">
        <x:v>2</x:v>
      </x:c>
      <x:c r="E111" s="8"/>
      <x:c r="F111" s="8"/>
      <x:c r="G111" s="9"/>
      <x:c r="H111" s="9"/>
      <x:c r="I111" s="8"/>
      <x:c r="J111" s="8"/>
      <x:c r="K111" s="2" t="str">
        <x:f>IF(OR(E111="",F111="",G111="",H111="",I111="",J111=""),"",IF(E111="Harness blocked","BLOCKED",IF(AND(E111="Present",F111="Supplied"),1,IF(OR(E111="Missing",E111="Not reached"),0,"CHECK"))))</x:f>
      </x:c>
      <x:c r="L111" s="2" t="str">
        <x:f>IF(ISNUMBER(K111),IF(AND(K111=1,I111="No"),1,0),K111)</x:f>
      </x:c>
      <x:c r="M111" s="2" t="n">
        <x:f>IF(ISNUMBER(K111),1,0)</x:f>
        <x:v>0</x:v>
      </x:c>
    </x:row>
    <x:row r="112" ht="24" customHeight="1">
      <x:c r="A112" s="2" t="str">
        <x:v>S02.03</x:v>
      </x:c>
      <x:c r="B112" s="2" t="str">
        <x:v>S02</x:v>
      </x:c>
      <x:c r="C112" s="2" t="str">
        <x:v>gpt_clean</x:v>
      </x:c>
      <x:c r="D112" s="2" t="n">
        <x:v>2</x:v>
      </x:c>
      <x:c r="E112" s="8"/>
      <x:c r="F112" s="8"/>
      <x:c r="G112" s="9"/>
      <x:c r="H112" s="9"/>
      <x:c r="I112" s="8"/>
      <x:c r="J112" s="8"/>
      <x:c r="K112" s="2" t="str">
        <x:f>IF(OR(E112="",F112="",G112="",H112="",I112="",J112=""),"",IF(E112="Harness blocked","BLOCKED",IF(AND(E112="Present",F112="Supplied"),1,IF(OR(E112="Missing",E112="Not reached"),0,"CHECK"))))</x:f>
      </x:c>
      <x:c r="L112" s="2" t="str">
        <x:f>IF(ISNUMBER(K112),IF(AND(K112=1,I112="No"),1,0),K112)</x:f>
      </x:c>
      <x:c r="M112" s="2" t="n">
        <x:f>IF(ISNUMBER(K112),1,0)</x:f>
        <x:v>0</x:v>
      </x:c>
    </x:row>
    <x:row r="113" ht="24" customHeight="1">
      <x:c r="A113" s="2" t="str">
        <x:v>S02.04</x:v>
      </x:c>
      <x:c r="B113" s="2" t="str">
        <x:v>S02</x:v>
      </x:c>
      <x:c r="C113" s="2" t="str">
        <x:v>gpt_clean</x:v>
      </x:c>
      <x:c r="D113" s="2" t="n">
        <x:v>2</x:v>
      </x:c>
      <x:c r="E113" s="8"/>
      <x:c r="F113" s="8"/>
      <x:c r="G113" s="9"/>
      <x:c r="H113" s="9"/>
      <x:c r="I113" s="8"/>
      <x:c r="J113" s="8"/>
      <x:c r="K113" s="2" t="str">
        <x:f>IF(OR(E113="",F113="",G113="",H113="",I113="",J113=""),"",IF(E113="Harness blocked","BLOCKED",IF(AND(E113="Present",F113="Supplied"),1,IF(OR(E113="Missing",E113="Not reached"),0,"CHECK"))))</x:f>
      </x:c>
      <x:c r="L113" s="2" t="str">
        <x:f>IF(ISNUMBER(K113),IF(AND(K113=1,I113="No"),1,0),K113)</x:f>
      </x:c>
      <x:c r="M113" s="2" t="n">
        <x:f>IF(ISNUMBER(K113),1,0)</x:f>
        <x:v>0</x:v>
      </x:c>
    </x:row>
    <x:row r="114" ht="24" customHeight="1">
      <x:c r="A114" s="2" t="str">
        <x:v>S02.05</x:v>
      </x:c>
      <x:c r="B114" s="2" t="str">
        <x:v>S02</x:v>
      </x:c>
      <x:c r="C114" s="2" t="str">
        <x:v>gpt_clean</x:v>
      </x:c>
      <x:c r="D114" s="2" t="n">
        <x:v>2</x:v>
      </x:c>
      <x:c r="E114" s="8"/>
      <x:c r="F114" s="8"/>
      <x:c r="G114" s="9"/>
      <x:c r="H114" s="9"/>
      <x:c r="I114" s="8"/>
      <x:c r="J114" s="8"/>
      <x:c r="K114" s="2" t="str">
        <x:f>IF(OR(E114="",F114="",G114="",H114="",I114="",J114=""),"",IF(E114="Harness blocked","BLOCKED",IF(AND(E114="Present",F114="Supplied"),1,IF(OR(E114="Missing",E114="Not reached"),0,"CHECK"))))</x:f>
      </x:c>
      <x:c r="L114" s="2" t="str">
        <x:f>IF(ISNUMBER(K114),IF(AND(K114=1,I114="No"),1,0),K114)</x:f>
      </x:c>
      <x:c r="M114" s="2" t="n">
        <x:f>IF(ISNUMBER(K114),1,0)</x:f>
        <x:v>0</x:v>
      </x:c>
    </x:row>
    <x:row r="115" ht="24" customHeight="1">
      <x:c r="A115" s="2" t="str">
        <x:v>S02.06</x:v>
      </x:c>
      <x:c r="B115" s="2" t="str">
        <x:v>S02</x:v>
      </x:c>
      <x:c r="C115" s="2" t="str">
        <x:v>gpt_clean</x:v>
      </x:c>
      <x:c r="D115" s="2" t="n">
        <x:v>2</x:v>
      </x:c>
      <x:c r="E115" s="8"/>
      <x:c r="F115" s="8"/>
      <x:c r="G115" s="9"/>
      <x:c r="H115" s="9"/>
      <x:c r="I115" s="8"/>
      <x:c r="J115" s="8"/>
      <x:c r="K115" s="2" t="str">
        <x:f>IF(OR(E115="",F115="",G115="",H115="",I115="",J115=""),"",IF(E115="Harness blocked","BLOCKED",IF(AND(E115="Present",F115="Supplied"),1,IF(OR(E115="Missing",E115="Not reached"),0,"CHECK"))))</x:f>
      </x:c>
      <x:c r="L115" s="2" t="str">
        <x:f>IF(ISNUMBER(K115),IF(AND(K115=1,I115="No"),1,0),K115)</x:f>
      </x:c>
      <x:c r="M115" s="2" t="n">
        <x:f>IF(ISNUMBER(K115),1,0)</x:f>
        <x:v>0</x:v>
      </x:c>
    </x:row>
    <x:row r="116" ht="24" customHeight="1">
      <x:c r="A116" s="2" t="str">
        <x:v>S02.07</x:v>
      </x:c>
      <x:c r="B116" s="2" t="str">
        <x:v>S02</x:v>
      </x:c>
      <x:c r="C116" s="2" t="str">
        <x:v>gpt_clean</x:v>
      </x:c>
      <x:c r="D116" s="2" t="n">
        <x:v>2</x:v>
      </x:c>
      <x:c r="E116" s="8"/>
      <x:c r="F116" s="8"/>
      <x:c r="G116" s="9"/>
      <x:c r="H116" s="9"/>
      <x:c r="I116" s="8"/>
      <x:c r="J116" s="8"/>
      <x:c r="K116" s="2" t="str">
        <x:f>IF(OR(E116="",F116="",G116="",H116="",I116="",J116=""),"",IF(E116="Harness blocked","BLOCKED",IF(AND(E116="Present",F116="Supplied"),1,IF(OR(E116="Missing",E116="Not reached"),0,"CHECK"))))</x:f>
      </x:c>
      <x:c r="L116" s="2" t="str">
        <x:f>IF(ISNUMBER(K116),IF(AND(K116=1,I116="No"),1,0),K116)</x:f>
      </x:c>
      <x:c r="M116" s="2" t="n">
        <x:f>IF(ISNUMBER(K116),1,0)</x:f>
        <x:v>0</x:v>
      </x:c>
    </x:row>
    <x:row r="117" ht="24" customHeight="1">
      <x:c r="A117" s="2" t="str">
        <x:v>S02.08</x:v>
      </x:c>
      <x:c r="B117" s="2" t="str">
        <x:v>S02</x:v>
      </x:c>
      <x:c r="C117" s="2" t="str">
        <x:v>gpt_clean</x:v>
      </x:c>
      <x:c r="D117" s="2" t="n">
        <x:v>2</x:v>
      </x:c>
      <x:c r="E117" s="8"/>
      <x:c r="F117" s="8"/>
      <x:c r="G117" s="9"/>
      <x:c r="H117" s="9"/>
      <x:c r="I117" s="8"/>
      <x:c r="J117" s="8"/>
      <x:c r="K117" s="2" t="str">
        <x:f>IF(OR(E117="",F117="",G117="",H117="",I117="",J117=""),"",IF(E117="Harness blocked","BLOCKED",IF(AND(E117="Present",F117="Supplied"),1,IF(OR(E117="Missing",E117="Not reached"),0,"CHECK"))))</x:f>
      </x:c>
      <x:c r="L117" s="2" t="str">
        <x:f>IF(ISNUMBER(K117),IF(AND(K117=1,I117="No"),1,0),K117)</x:f>
      </x:c>
      <x:c r="M117" s="2" t="n">
        <x:f>IF(ISNUMBER(K117),1,0)</x:f>
        <x:v>0</x:v>
      </x:c>
    </x:row>
    <x:row r="118" ht="24" customHeight="1">
      <x:c r="A118" s="2" t="str">
        <x:v>S03.01</x:v>
      </x:c>
      <x:c r="B118" s="2" t="str">
        <x:v>S03</x:v>
      </x:c>
      <x:c r="C118" s="2" t="str">
        <x:v>gpt_clean</x:v>
      </x:c>
      <x:c r="D118" s="2" t="n">
        <x:v>2</x:v>
      </x:c>
      <x:c r="E118" s="8"/>
      <x:c r="F118" s="8"/>
      <x:c r="G118" s="9"/>
      <x:c r="H118" s="9"/>
      <x:c r="I118" s="8"/>
      <x:c r="J118" s="8"/>
      <x:c r="K118" s="2" t="str">
        <x:f>IF(OR(E118="",F118="",G118="",H118="",I118="",J118=""),"",IF(E118="Harness blocked","BLOCKED",IF(AND(E118="Present",F118="Supplied"),1,IF(OR(E118="Missing",E118="Not reached"),0,"CHECK"))))</x:f>
      </x:c>
      <x:c r="L118" s="2" t="str">
        <x:f>IF(ISNUMBER(K118),IF(AND(K118=1,I118="No"),1,0),K118)</x:f>
      </x:c>
      <x:c r="M118" s="2" t="n">
        <x:f>IF(ISNUMBER(K118),1,0)</x:f>
        <x:v>0</x:v>
      </x:c>
    </x:row>
    <x:row r="119" ht="24" customHeight="1">
      <x:c r="A119" s="2" t="str">
        <x:v>S03.02</x:v>
      </x:c>
      <x:c r="B119" s="2" t="str">
        <x:v>S03</x:v>
      </x:c>
      <x:c r="C119" s="2" t="str">
        <x:v>gpt_clean</x:v>
      </x:c>
      <x:c r="D119" s="2" t="n">
        <x:v>2</x:v>
      </x:c>
      <x:c r="E119" s="8"/>
      <x:c r="F119" s="8"/>
      <x:c r="G119" s="9"/>
      <x:c r="H119" s="9"/>
      <x:c r="I119" s="8"/>
      <x:c r="J119" s="8"/>
      <x:c r="K119" s="2" t="str">
        <x:f>IF(OR(E119="",F119="",G119="",H119="",I119="",J119=""),"",IF(E119="Harness blocked","BLOCKED",IF(AND(E119="Present",F119="Supplied"),1,IF(OR(E119="Missing",E119="Not reached"),0,"CHECK"))))</x:f>
      </x:c>
      <x:c r="L119" s="2" t="str">
        <x:f>IF(ISNUMBER(K119),IF(AND(K119=1,I119="No"),1,0),K119)</x:f>
      </x:c>
      <x:c r="M119" s="2" t="n">
        <x:f>IF(ISNUMBER(K119),1,0)</x:f>
        <x:v>0</x:v>
      </x:c>
    </x:row>
    <x:row r="120" ht="24" customHeight="1">
      <x:c r="A120" s="2" t="str">
        <x:v>S03.03</x:v>
      </x:c>
      <x:c r="B120" s="2" t="str">
        <x:v>S03</x:v>
      </x:c>
      <x:c r="C120" s="2" t="str">
        <x:v>gpt_clean</x:v>
      </x:c>
      <x:c r="D120" s="2" t="n">
        <x:v>2</x:v>
      </x:c>
      <x:c r="E120" s="8"/>
      <x:c r="F120" s="8"/>
      <x:c r="G120" s="9"/>
      <x:c r="H120" s="9"/>
      <x:c r="I120" s="8"/>
      <x:c r="J120" s="8"/>
      <x:c r="K120" s="2" t="str">
        <x:f>IF(OR(E120="",F120="",G120="",H120="",I120="",J120=""),"",IF(E120="Harness blocked","BLOCKED",IF(AND(E120="Present",F120="Supplied"),1,IF(OR(E120="Missing",E120="Not reached"),0,"CHECK"))))</x:f>
      </x:c>
      <x:c r="L120" s="2" t="str">
        <x:f>IF(ISNUMBER(K120),IF(AND(K120=1,I120="No"),1,0),K120)</x:f>
      </x:c>
      <x:c r="M120" s="2" t="n">
        <x:f>IF(ISNUMBER(K120),1,0)</x:f>
        <x:v>0</x:v>
      </x:c>
    </x:row>
    <x:row r="121" ht="24" customHeight="1">
      <x:c r="A121" s="2" t="str">
        <x:v>S03.04</x:v>
      </x:c>
      <x:c r="B121" s="2" t="str">
        <x:v>S03</x:v>
      </x:c>
      <x:c r="C121" s="2" t="str">
        <x:v>gpt_clean</x:v>
      </x:c>
      <x:c r="D121" s="2" t="n">
        <x:v>2</x:v>
      </x:c>
      <x:c r="E121" s="8"/>
      <x:c r="F121" s="8"/>
      <x:c r="G121" s="9"/>
      <x:c r="H121" s="9"/>
      <x:c r="I121" s="8"/>
      <x:c r="J121" s="8"/>
      <x:c r="K121" s="2" t="str">
        <x:f>IF(OR(E121="",F121="",G121="",H121="",I121="",J121=""),"",IF(E121="Harness blocked","BLOCKED",IF(AND(E121="Present",F121="Supplied"),1,IF(OR(E121="Missing",E121="Not reached"),0,"CHECK"))))</x:f>
      </x:c>
      <x:c r="L121" s="2" t="str">
        <x:f>IF(ISNUMBER(K121),IF(AND(K121=1,I121="No"),1,0),K121)</x:f>
      </x:c>
      <x:c r="M121" s="2" t="n">
        <x:f>IF(ISNUMBER(K121),1,0)</x:f>
        <x:v>0</x:v>
      </x:c>
    </x:row>
    <x:row r="122" ht="24" customHeight="1">
      <x:c r="A122" s="2" t="str">
        <x:v>S03.05</x:v>
      </x:c>
      <x:c r="B122" s="2" t="str">
        <x:v>S03</x:v>
      </x:c>
      <x:c r="C122" s="2" t="str">
        <x:v>gpt_clean</x:v>
      </x:c>
      <x:c r="D122" s="2" t="n">
        <x:v>2</x:v>
      </x:c>
      <x:c r="E122" s="8"/>
      <x:c r="F122" s="8"/>
      <x:c r="G122" s="9"/>
      <x:c r="H122" s="9"/>
      <x:c r="I122" s="8"/>
      <x:c r="J122" s="8"/>
      <x:c r="K122" s="2" t="str">
        <x:f>IF(OR(E122="",F122="",G122="",H122="",I122="",J122=""),"",IF(E122="Harness blocked","BLOCKED",IF(AND(E122="Present",F122="Supplied"),1,IF(OR(E122="Missing",E122="Not reached"),0,"CHECK"))))</x:f>
      </x:c>
      <x:c r="L122" s="2" t="str">
        <x:f>IF(ISNUMBER(K122),IF(AND(K122=1,I122="No"),1,0),K122)</x:f>
      </x:c>
      <x:c r="M122" s="2" t="n">
        <x:f>IF(ISNUMBER(K122),1,0)</x:f>
        <x:v>0</x:v>
      </x:c>
    </x:row>
    <x:row r="123" ht="24" customHeight="1">
      <x:c r="A123" s="2" t="str">
        <x:v>S03.06</x:v>
      </x:c>
      <x:c r="B123" s="2" t="str">
        <x:v>S03</x:v>
      </x:c>
      <x:c r="C123" s="2" t="str">
        <x:v>gpt_clean</x:v>
      </x:c>
      <x:c r="D123" s="2" t="n">
        <x:v>2</x:v>
      </x:c>
      <x:c r="E123" s="8"/>
      <x:c r="F123" s="8"/>
      <x:c r="G123" s="9"/>
      <x:c r="H123" s="9"/>
      <x:c r="I123" s="8"/>
      <x:c r="J123" s="8"/>
      <x:c r="K123" s="2" t="str">
        <x:f>IF(OR(E123="",F123="",G123="",H123="",I123="",J123=""),"",IF(E123="Harness blocked","BLOCKED",IF(AND(E123="Present",F123="Supplied"),1,IF(OR(E123="Missing",E123="Not reached"),0,"CHECK"))))</x:f>
      </x:c>
      <x:c r="L123" s="2" t="str">
        <x:f>IF(ISNUMBER(K123),IF(AND(K123=1,I123="No"),1,0),K123)</x:f>
      </x:c>
      <x:c r="M123" s="2" t="n">
        <x:f>IF(ISNUMBER(K123),1,0)</x:f>
        <x:v>0</x:v>
      </x:c>
    </x:row>
    <x:row r="124" ht="24" customHeight="1">
      <x:c r="A124" s="2" t="str">
        <x:v>S03.07</x:v>
      </x:c>
      <x:c r="B124" s="2" t="str">
        <x:v>S03</x:v>
      </x:c>
      <x:c r="C124" s="2" t="str">
        <x:v>gpt_clean</x:v>
      </x:c>
      <x:c r="D124" s="2" t="n">
        <x:v>2</x:v>
      </x:c>
      <x:c r="E124" s="8"/>
      <x:c r="F124" s="8"/>
      <x:c r="G124" s="9"/>
      <x:c r="H124" s="9"/>
      <x:c r="I124" s="8"/>
      <x:c r="J124" s="8"/>
      <x:c r="K124" s="2" t="str">
        <x:f>IF(OR(E124="",F124="",G124="",H124="",I124="",J124=""),"",IF(E124="Harness blocked","BLOCKED",IF(AND(E124="Present",F124="Supplied"),1,IF(OR(E124="Missing",E124="Not reached"),0,"CHECK"))))</x:f>
      </x:c>
      <x:c r="L124" s="2" t="str">
        <x:f>IF(ISNUMBER(K124),IF(AND(K124=1,I124="No"),1,0),K124)</x:f>
      </x:c>
      <x:c r="M124" s="2" t="n">
        <x:f>IF(ISNUMBER(K124),1,0)</x:f>
        <x:v>0</x:v>
      </x:c>
    </x:row>
    <x:row r="125" ht="24" customHeight="1">
      <x:c r="A125" s="2" t="str">
        <x:v>S03.08</x:v>
      </x:c>
      <x:c r="B125" s="2" t="str">
        <x:v>S03</x:v>
      </x:c>
      <x:c r="C125" s="2" t="str">
        <x:v>gpt_clean</x:v>
      </x:c>
      <x:c r="D125" s="2" t="n">
        <x:v>2</x:v>
      </x:c>
      <x:c r="E125" s="8"/>
      <x:c r="F125" s="8"/>
      <x:c r="G125" s="9"/>
      <x:c r="H125" s="9"/>
      <x:c r="I125" s="8"/>
      <x:c r="J125" s="8"/>
      <x:c r="K125" s="2" t="str">
        <x:f>IF(OR(E125="",F125="",G125="",H125="",I125="",J125=""),"",IF(E125="Harness blocked","BLOCKED",IF(AND(E125="Present",F125="Supplied"),1,IF(OR(E125="Missing",E125="Not reached"),0,"CHECK"))))</x:f>
      </x:c>
      <x:c r="L125" s="2" t="str">
        <x:f>IF(ISNUMBER(K125),IF(AND(K125=1,I125="No"),1,0),K125)</x:f>
      </x:c>
      <x:c r="M125" s="2" t="n">
        <x:f>IF(ISNUMBER(K125),1,0)</x:f>
        <x:v>0</x:v>
      </x:c>
    </x:row>
    <x:row r="126" ht="24" customHeight="1">
      <x:c r="A126" s="2" t="str">
        <x:v>S04.01</x:v>
      </x:c>
      <x:c r="B126" s="2" t="str">
        <x:v>S04</x:v>
      </x:c>
      <x:c r="C126" s="2" t="str">
        <x:v>gpt_clean</x:v>
      </x:c>
      <x:c r="D126" s="2" t="n">
        <x:v>2</x:v>
      </x:c>
      <x:c r="E126" s="8"/>
      <x:c r="F126" s="8"/>
      <x:c r="G126" s="9"/>
      <x:c r="H126" s="9"/>
      <x:c r="I126" s="8"/>
      <x:c r="J126" s="8"/>
      <x:c r="K126" s="2" t="str">
        <x:f>IF(OR(E126="",F126="",G126="",H126="",I126="",J126=""),"",IF(E126="Harness blocked","BLOCKED",IF(AND(E126="Present",F126="Supplied"),1,IF(OR(E126="Missing",E126="Not reached"),0,"CHECK"))))</x:f>
      </x:c>
      <x:c r="L126" s="2" t="str">
        <x:f>IF(ISNUMBER(K126),IF(AND(K126=1,I126="No"),1,0),K126)</x:f>
      </x:c>
      <x:c r="M126" s="2" t="n">
        <x:f>IF(ISNUMBER(K126),1,0)</x:f>
        <x:v>0</x:v>
      </x:c>
    </x:row>
    <x:row r="127" ht="24" customHeight="1">
      <x:c r="A127" s="2" t="str">
        <x:v>S04.02</x:v>
      </x:c>
      <x:c r="B127" s="2" t="str">
        <x:v>S04</x:v>
      </x:c>
      <x:c r="C127" s="2" t="str">
        <x:v>gpt_clean</x:v>
      </x:c>
      <x:c r="D127" s="2" t="n">
        <x:v>2</x:v>
      </x:c>
      <x:c r="E127" s="8"/>
      <x:c r="F127" s="8"/>
      <x:c r="G127" s="9"/>
      <x:c r="H127" s="9"/>
      <x:c r="I127" s="8"/>
      <x:c r="J127" s="8"/>
      <x:c r="K127" s="2" t="str">
        <x:f>IF(OR(E127="",F127="",G127="",H127="",I127="",J127=""),"",IF(E127="Harness blocked","BLOCKED",IF(AND(E127="Present",F127="Supplied"),1,IF(OR(E127="Missing",E127="Not reached"),0,"CHECK"))))</x:f>
      </x:c>
      <x:c r="L127" s="2" t="str">
        <x:f>IF(ISNUMBER(K127),IF(AND(K127=1,I127="No"),1,0),K127)</x:f>
      </x:c>
      <x:c r="M127" s="2" t="n">
        <x:f>IF(ISNUMBER(K127),1,0)</x:f>
        <x:v>0</x:v>
      </x:c>
    </x:row>
    <x:row r="128" ht="24" customHeight="1">
      <x:c r="A128" s="2" t="str">
        <x:v>S04.03</x:v>
      </x:c>
      <x:c r="B128" s="2" t="str">
        <x:v>S04</x:v>
      </x:c>
      <x:c r="C128" s="2" t="str">
        <x:v>gpt_clean</x:v>
      </x:c>
      <x:c r="D128" s="2" t="n">
        <x:v>2</x:v>
      </x:c>
      <x:c r="E128" s="8"/>
      <x:c r="F128" s="8"/>
      <x:c r="G128" s="9"/>
      <x:c r="H128" s="9"/>
      <x:c r="I128" s="8"/>
      <x:c r="J128" s="8"/>
      <x:c r="K128" s="2" t="str">
        <x:f>IF(OR(E128="",F128="",G128="",H128="",I128="",J128=""),"",IF(E128="Harness blocked","BLOCKED",IF(AND(E128="Present",F128="Supplied"),1,IF(OR(E128="Missing",E128="Not reached"),0,"CHECK"))))</x:f>
      </x:c>
      <x:c r="L128" s="2" t="str">
        <x:f>IF(ISNUMBER(K128),IF(AND(K128=1,I128="No"),1,0),K128)</x:f>
      </x:c>
      <x:c r="M128" s="2" t="n">
        <x:f>IF(ISNUMBER(K128),1,0)</x:f>
        <x:v>0</x:v>
      </x:c>
    </x:row>
    <x:row r="129" ht="24" customHeight="1">
      <x:c r="A129" s="2" t="str">
        <x:v>S04.04</x:v>
      </x:c>
      <x:c r="B129" s="2" t="str">
        <x:v>S04</x:v>
      </x:c>
      <x:c r="C129" s="2" t="str">
        <x:v>gpt_clean</x:v>
      </x:c>
      <x:c r="D129" s="2" t="n">
        <x:v>2</x:v>
      </x:c>
      <x:c r="E129" s="8"/>
      <x:c r="F129" s="8"/>
      <x:c r="G129" s="9"/>
      <x:c r="H129" s="9"/>
      <x:c r="I129" s="8"/>
      <x:c r="J129" s="8"/>
      <x:c r="K129" s="2" t="str">
        <x:f>IF(OR(E129="",F129="",G129="",H129="",I129="",J129=""),"",IF(E129="Harness blocked","BLOCKED",IF(AND(E129="Present",F129="Supplied"),1,IF(OR(E129="Missing",E129="Not reached"),0,"CHECK"))))</x:f>
      </x:c>
      <x:c r="L129" s="2" t="str">
        <x:f>IF(ISNUMBER(K129),IF(AND(K129=1,I129="No"),1,0),K129)</x:f>
      </x:c>
      <x:c r="M129" s="2" t="n">
        <x:f>IF(ISNUMBER(K129),1,0)</x:f>
        <x:v>0</x:v>
      </x:c>
    </x:row>
    <x:row r="130" ht="24" customHeight="1">
      <x:c r="A130" s="2" t="str">
        <x:v>S04.05</x:v>
      </x:c>
      <x:c r="B130" s="2" t="str">
        <x:v>S04</x:v>
      </x:c>
      <x:c r="C130" s="2" t="str">
        <x:v>gpt_clean</x:v>
      </x:c>
      <x:c r="D130" s="2" t="n">
        <x:v>2</x:v>
      </x:c>
      <x:c r="E130" s="8"/>
      <x:c r="F130" s="8"/>
      <x:c r="G130" s="9"/>
      <x:c r="H130" s="9"/>
      <x:c r="I130" s="8"/>
      <x:c r="J130" s="8"/>
      <x:c r="K130" s="2" t="str">
        <x:f>IF(OR(E130="",F130="",G130="",H130="",I130="",J130=""),"",IF(E130="Harness blocked","BLOCKED",IF(AND(E130="Present",F130="Supplied"),1,IF(OR(E130="Missing",E130="Not reached"),0,"CHECK"))))</x:f>
      </x:c>
      <x:c r="L130" s="2" t="str">
        <x:f>IF(ISNUMBER(K130),IF(AND(K130=1,I130="No"),1,0),K130)</x:f>
      </x:c>
      <x:c r="M130" s="2" t="n">
        <x:f>IF(ISNUMBER(K130),1,0)</x:f>
        <x:v>0</x:v>
      </x:c>
    </x:row>
    <x:row r="131" ht="24" customHeight="1">
      <x:c r="A131" s="2" t="str">
        <x:v>S04.06</x:v>
      </x:c>
      <x:c r="B131" s="2" t="str">
        <x:v>S04</x:v>
      </x:c>
      <x:c r="C131" s="2" t="str">
        <x:v>gpt_clean</x:v>
      </x:c>
      <x:c r="D131" s="2" t="n">
        <x:v>2</x:v>
      </x:c>
      <x:c r="E131" s="8"/>
      <x:c r="F131" s="8"/>
      <x:c r="G131" s="9"/>
      <x:c r="H131" s="9"/>
      <x:c r="I131" s="8"/>
      <x:c r="J131" s="8"/>
      <x:c r="K131" s="2" t="str">
        <x:f>IF(OR(E131="",F131="",G131="",H131="",I131="",J131=""),"",IF(E131="Harness blocked","BLOCKED",IF(AND(E131="Present",F131="Supplied"),1,IF(OR(E131="Missing",E131="Not reached"),0,"CHECK"))))</x:f>
      </x:c>
      <x:c r="L131" s="2" t="str">
        <x:f>IF(ISNUMBER(K131),IF(AND(K131=1,I131="No"),1,0),K131)</x:f>
      </x:c>
      <x:c r="M131" s="2" t="n">
        <x:f>IF(ISNUMBER(K131),1,0)</x:f>
        <x:v>0</x:v>
      </x:c>
    </x:row>
    <x:row r="132" ht="24" customHeight="1">
      <x:c r="A132" s="2" t="str">
        <x:v>S04.07</x:v>
      </x:c>
      <x:c r="B132" s="2" t="str">
        <x:v>S04</x:v>
      </x:c>
      <x:c r="C132" s="2" t="str">
        <x:v>gpt_clean</x:v>
      </x:c>
      <x:c r="D132" s="2" t="n">
        <x:v>2</x:v>
      </x:c>
      <x:c r="E132" s="8"/>
      <x:c r="F132" s="8"/>
      <x:c r="G132" s="9"/>
      <x:c r="H132" s="9"/>
      <x:c r="I132" s="8"/>
      <x:c r="J132" s="8"/>
      <x:c r="K132" s="2" t="str">
        <x:f>IF(OR(E132="",F132="",G132="",H132="",I132="",J132=""),"",IF(E132="Harness blocked","BLOCKED",IF(AND(E132="Present",F132="Supplied"),1,IF(OR(E132="Missing",E132="Not reached"),0,"CHECK"))))</x:f>
      </x:c>
      <x:c r="L132" s="2" t="str">
        <x:f>IF(ISNUMBER(K132),IF(AND(K132=1,I132="No"),1,0),K132)</x:f>
      </x:c>
      <x:c r="M132" s="2" t="n">
        <x:f>IF(ISNUMBER(K132),1,0)</x:f>
        <x:v>0</x:v>
      </x:c>
    </x:row>
    <x:row r="133" ht="24" customHeight="1">
      <x:c r="A133" s="2" t="str">
        <x:v>S04.08</x:v>
      </x:c>
      <x:c r="B133" s="2" t="str">
        <x:v>S04</x:v>
      </x:c>
      <x:c r="C133" s="2" t="str">
        <x:v>gpt_clean</x:v>
      </x:c>
      <x:c r="D133" s="2" t="n">
        <x:v>2</x:v>
      </x:c>
      <x:c r="E133" s="8"/>
      <x:c r="F133" s="8"/>
      <x:c r="G133" s="9"/>
      <x:c r="H133" s="9"/>
      <x:c r="I133" s="8"/>
      <x:c r="J133" s="8"/>
      <x:c r="K133" s="2" t="str">
        <x:f>IF(OR(E133="",F133="",G133="",H133="",I133="",J133=""),"",IF(E133="Harness blocked","BLOCKED",IF(AND(E133="Present",F133="Supplied"),1,IF(OR(E133="Missing",E133="Not reached"),0,"CHECK"))))</x:f>
      </x:c>
      <x:c r="L133" s="2" t="str">
        <x:f>IF(ISNUMBER(K133),IF(AND(K133=1,I133="No"),1,0),K133)</x:f>
      </x:c>
      <x:c r="M133" s="2" t="n">
        <x:f>IF(ISNUMBER(K133),1,0)</x:f>
        <x:v>0</x:v>
      </x:c>
    </x:row>
    <x:row r="134" ht="24" customHeight="1">
      <x:c r="A134" s="2" t="str">
        <x:v>S05.01</x:v>
      </x:c>
      <x:c r="B134" s="2" t="str">
        <x:v>S05</x:v>
      </x:c>
      <x:c r="C134" s="2" t="str">
        <x:v>gpt_clean</x:v>
      </x:c>
      <x:c r="D134" s="2" t="n">
        <x:v>2</x:v>
      </x:c>
      <x:c r="E134" s="8"/>
      <x:c r="F134" s="8"/>
      <x:c r="G134" s="9"/>
      <x:c r="H134" s="9"/>
      <x:c r="I134" s="8"/>
      <x:c r="J134" s="8"/>
      <x:c r="K134" s="2" t="str">
        <x:f>IF(OR(E134="",F134="",G134="",H134="",I134="",J134=""),"",IF(E134="Harness blocked","BLOCKED",IF(AND(E134="Present",F134="Supplied"),1,IF(OR(E134="Missing",E134="Not reached"),0,"CHECK"))))</x:f>
      </x:c>
      <x:c r="L134" s="2" t="str">
        <x:f>IF(ISNUMBER(K134),IF(AND(K134=1,I134="No"),1,0),K134)</x:f>
      </x:c>
      <x:c r="M134" s="2" t="n">
        <x:f>IF(ISNUMBER(K134),1,0)</x:f>
        <x:v>0</x:v>
      </x:c>
    </x:row>
    <x:row r="135" ht="24" customHeight="1">
      <x:c r="A135" s="2" t="str">
        <x:v>S05.02</x:v>
      </x:c>
      <x:c r="B135" s="2" t="str">
        <x:v>S05</x:v>
      </x:c>
      <x:c r="C135" s="2" t="str">
        <x:v>gpt_clean</x:v>
      </x:c>
      <x:c r="D135" s="2" t="n">
        <x:v>2</x:v>
      </x:c>
      <x:c r="E135" s="8"/>
      <x:c r="F135" s="8"/>
      <x:c r="G135" s="9"/>
      <x:c r="H135" s="9"/>
      <x:c r="I135" s="8"/>
      <x:c r="J135" s="8"/>
      <x:c r="K135" s="2" t="str">
        <x:f>IF(OR(E135="",F135="",G135="",H135="",I135="",J135=""),"",IF(E135="Harness blocked","BLOCKED",IF(AND(E135="Present",F135="Supplied"),1,IF(OR(E135="Missing",E135="Not reached"),0,"CHECK"))))</x:f>
      </x:c>
      <x:c r="L135" s="2" t="str">
        <x:f>IF(ISNUMBER(K135),IF(AND(K135=1,I135="No"),1,0),K135)</x:f>
      </x:c>
      <x:c r="M135" s="2" t="n">
        <x:f>IF(ISNUMBER(K135),1,0)</x:f>
        <x:v>0</x:v>
      </x:c>
    </x:row>
    <x:row r="136" ht="24" customHeight="1">
      <x:c r="A136" s="2" t="str">
        <x:v>S05.03</x:v>
      </x:c>
      <x:c r="B136" s="2" t="str">
        <x:v>S05</x:v>
      </x:c>
      <x:c r="C136" s="2" t="str">
        <x:v>gpt_clean</x:v>
      </x:c>
      <x:c r="D136" s="2" t="n">
        <x:v>2</x:v>
      </x:c>
      <x:c r="E136" s="8"/>
      <x:c r="F136" s="8"/>
      <x:c r="G136" s="9"/>
      <x:c r="H136" s="9"/>
      <x:c r="I136" s="8"/>
      <x:c r="J136" s="8"/>
      <x:c r="K136" s="2" t="str">
        <x:f>IF(OR(E136="",F136="",G136="",H136="",I136="",J136=""),"",IF(E136="Harness blocked","BLOCKED",IF(AND(E136="Present",F136="Supplied"),1,IF(OR(E136="Missing",E136="Not reached"),0,"CHECK"))))</x:f>
      </x:c>
      <x:c r="L136" s="2" t="str">
        <x:f>IF(ISNUMBER(K136),IF(AND(K136=1,I136="No"),1,0),K136)</x:f>
      </x:c>
      <x:c r="M136" s="2" t="n">
        <x:f>IF(ISNUMBER(K136),1,0)</x:f>
        <x:v>0</x:v>
      </x:c>
    </x:row>
    <x:row r="137" ht="24" customHeight="1">
      <x:c r="A137" s="2" t="str">
        <x:v>S05.04</x:v>
      </x:c>
      <x:c r="B137" s="2" t="str">
        <x:v>S05</x:v>
      </x:c>
      <x:c r="C137" s="2" t="str">
        <x:v>gpt_clean</x:v>
      </x:c>
      <x:c r="D137" s="2" t="n">
        <x:v>2</x:v>
      </x:c>
      <x:c r="E137" s="8"/>
      <x:c r="F137" s="8"/>
      <x:c r="G137" s="9"/>
      <x:c r="H137" s="9"/>
      <x:c r="I137" s="8"/>
      <x:c r="J137" s="8"/>
      <x:c r="K137" s="2" t="str">
        <x:f>IF(OR(E137="",F137="",G137="",H137="",I137="",J137=""),"",IF(E137="Harness blocked","BLOCKED",IF(AND(E137="Present",F137="Supplied"),1,IF(OR(E137="Missing",E137="Not reached"),0,"CHECK"))))</x:f>
      </x:c>
      <x:c r="L137" s="2" t="str">
        <x:f>IF(ISNUMBER(K137),IF(AND(K137=1,I137="No"),1,0),K137)</x:f>
      </x:c>
      <x:c r="M137" s="2" t="n">
        <x:f>IF(ISNUMBER(K137),1,0)</x:f>
        <x:v>0</x:v>
      </x:c>
    </x:row>
    <x:row r="138" ht="24" customHeight="1">
      <x:c r="A138" s="2" t="str">
        <x:v>S05.05</x:v>
      </x:c>
      <x:c r="B138" s="2" t="str">
        <x:v>S05</x:v>
      </x:c>
      <x:c r="C138" s="2" t="str">
        <x:v>gpt_clean</x:v>
      </x:c>
      <x:c r="D138" s="2" t="n">
        <x:v>2</x:v>
      </x:c>
      <x:c r="E138" s="8"/>
      <x:c r="F138" s="8"/>
      <x:c r="G138" s="9"/>
      <x:c r="H138" s="9"/>
      <x:c r="I138" s="8"/>
      <x:c r="J138" s="8"/>
      <x:c r="K138" s="2" t="str">
        <x:f>IF(OR(E138="",F138="",G138="",H138="",I138="",J138=""),"",IF(E138="Harness blocked","BLOCKED",IF(AND(E138="Present",F138="Supplied"),1,IF(OR(E138="Missing",E138="Not reached"),0,"CHECK"))))</x:f>
      </x:c>
      <x:c r="L138" s="2" t="str">
        <x:f>IF(ISNUMBER(K138),IF(AND(K138=1,I138="No"),1,0),K138)</x:f>
      </x:c>
      <x:c r="M138" s="2" t="n">
        <x:f>IF(ISNUMBER(K138),1,0)</x:f>
        <x:v>0</x:v>
      </x:c>
    </x:row>
    <x:row r="139" ht="24" customHeight="1">
      <x:c r="A139" s="2" t="str">
        <x:v>S05.06</x:v>
      </x:c>
      <x:c r="B139" s="2" t="str">
        <x:v>S05</x:v>
      </x:c>
      <x:c r="C139" s="2" t="str">
        <x:v>gpt_clean</x:v>
      </x:c>
      <x:c r="D139" s="2" t="n">
        <x:v>2</x:v>
      </x:c>
      <x:c r="E139" s="8"/>
      <x:c r="F139" s="8"/>
      <x:c r="G139" s="9"/>
      <x:c r="H139" s="9"/>
      <x:c r="I139" s="8"/>
      <x:c r="J139" s="8"/>
      <x:c r="K139" s="2" t="str">
        <x:f>IF(OR(E139="",F139="",G139="",H139="",I139="",J139=""),"",IF(E139="Harness blocked","BLOCKED",IF(AND(E139="Present",F139="Supplied"),1,IF(OR(E139="Missing",E139="Not reached"),0,"CHECK"))))</x:f>
      </x:c>
      <x:c r="L139" s="2" t="str">
        <x:f>IF(ISNUMBER(K139),IF(AND(K139=1,I139="No"),1,0),K139)</x:f>
      </x:c>
      <x:c r="M139" s="2" t="n">
        <x:f>IF(ISNUMBER(K139),1,0)</x:f>
        <x:v>0</x:v>
      </x:c>
    </x:row>
    <x:row r="140" ht="24" customHeight="1">
      <x:c r="A140" s="2" t="str">
        <x:v>S05.07</x:v>
      </x:c>
      <x:c r="B140" s="2" t="str">
        <x:v>S05</x:v>
      </x:c>
      <x:c r="C140" s="2" t="str">
        <x:v>gpt_clean</x:v>
      </x:c>
      <x:c r="D140" s="2" t="n">
        <x:v>2</x:v>
      </x:c>
      <x:c r="E140" s="8"/>
      <x:c r="F140" s="8"/>
      <x:c r="G140" s="9"/>
      <x:c r="H140" s="9"/>
      <x:c r="I140" s="8"/>
      <x:c r="J140" s="8"/>
      <x:c r="K140" s="2" t="str">
        <x:f>IF(OR(E140="",F140="",G140="",H140="",I140="",J140=""),"",IF(E140="Harness blocked","BLOCKED",IF(AND(E140="Present",F140="Supplied"),1,IF(OR(E140="Missing",E140="Not reached"),0,"CHECK"))))</x:f>
      </x:c>
      <x:c r="L140" s="2" t="str">
        <x:f>IF(ISNUMBER(K140),IF(AND(K140=1,I140="No"),1,0),K140)</x:f>
      </x:c>
      <x:c r="M140" s="2" t="n">
        <x:f>IF(ISNUMBER(K140),1,0)</x:f>
        <x:v>0</x:v>
      </x:c>
    </x:row>
    <x:row r="141" ht="24" customHeight="1">
      <x:c r="A141" s="2" t="str">
        <x:v>S05.08</x:v>
      </x:c>
      <x:c r="B141" s="2" t="str">
        <x:v>S05</x:v>
      </x:c>
      <x:c r="C141" s="2" t="str">
        <x:v>gpt_clean</x:v>
      </x:c>
      <x:c r="D141" s="2" t="n">
        <x:v>2</x:v>
      </x:c>
      <x:c r="E141" s="8"/>
      <x:c r="F141" s="8"/>
      <x:c r="G141" s="9"/>
      <x:c r="H141" s="9"/>
      <x:c r="I141" s="8"/>
      <x:c r="J141" s="8"/>
      <x:c r="K141" s="2" t="str">
        <x:f>IF(OR(E141="",F141="",G141="",H141="",I141="",J141=""),"",IF(E141="Harness blocked","BLOCKED",IF(AND(E141="Present",F141="Supplied"),1,IF(OR(E141="Missing",E141="Not reached"),0,"CHECK"))))</x:f>
      </x:c>
      <x:c r="L141" s="2" t="str">
        <x:f>IF(ISNUMBER(K141),IF(AND(K141=1,I141="No"),1,0),K141)</x:f>
      </x:c>
      <x:c r="M141" s="2" t="n">
        <x:f>IF(ISNUMBER(K141),1,0)</x:f>
        <x:v>0</x:v>
      </x:c>
    </x:row>
    <x:row r="142" ht="24" customHeight="1">
      <x:c r="A142" s="2" t="str">
        <x:v>S06.01</x:v>
      </x:c>
      <x:c r="B142" s="2" t="str">
        <x:v>S06</x:v>
      </x:c>
      <x:c r="C142" s="2" t="str">
        <x:v>gpt_clean</x:v>
      </x:c>
      <x:c r="D142" s="2" t="n">
        <x:v>2</x:v>
      </x:c>
      <x:c r="E142" s="8"/>
      <x:c r="F142" s="8"/>
      <x:c r="G142" s="9"/>
      <x:c r="H142" s="9"/>
      <x:c r="I142" s="8"/>
      <x:c r="J142" s="8"/>
      <x:c r="K142" s="2" t="str">
        <x:f>IF(OR(E142="",F142="",G142="",H142="",I142="",J142=""),"",IF(E142="Harness blocked","BLOCKED",IF(AND(E142="Present",F142="Supplied"),1,IF(OR(E142="Missing",E142="Not reached"),0,"CHECK"))))</x:f>
      </x:c>
      <x:c r="L142" s="2" t="str">
        <x:f>IF(ISNUMBER(K142),IF(AND(K142=1,I142="No"),1,0),K142)</x:f>
      </x:c>
      <x:c r="M142" s="2" t="n">
        <x:f>IF(ISNUMBER(K142),1,0)</x:f>
        <x:v>0</x:v>
      </x:c>
    </x:row>
    <x:row r="143" ht="24" customHeight="1">
      <x:c r="A143" s="2" t="str">
        <x:v>S06.02</x:v>
      </x:c>
      <x:c r="B143" s="2" t="str">
        <x:v>S06</x:v>
      </x:c>
      <x:c r="C143" s="2" t="str">
        <x:v>gpt_clean</x:v>
      </x:c>
      <x:c r="D143" s="2" t="n">
        <x:v>2</x:v>
      </x:c>
      <x:c r="E143" s="8"/>
      <x:c r="F143" s="8"/>
      <x:c r="G143" s="9"/>
      <x:c r="H143" s="9"/>
      <x:c r="I143" s="8"/>
      <x:c r="J143" s="8"/>
      <x:c r="K143" s="2" t="str">
        <x:f>IF(OR(E143="",F143="",G143="",H143="",I143="",J143=""),"",IF(E143="Harness blocked","BLOCKED",IF(AND(E143="Present",F143="Supplied"),1,IF(OR(E143="Missing",E143="Not reached"),0,"CHECK"))))</x:f>
      </x:c>
      <x:c r="L143" s="2" t="str">
        <x:f>IF(ISNUMBER(K143),IF(AND(K143=1,I143="No"),1,0),K143)</x:f>
      </x:c>
      <x:c r="M143" s="2" t="n">
        <x:f>IF(ISNUMBER(K143),1,0)</x:f>
        <x:v>0</x:v>
      </x:c>
    </x:row>
    <x:row r="144" ht="24" customHeight="1">
      <x:c r="A144" s="2" t="str">
        <x:v>S06.03</x:v>
      </x:c>
      <x:c r="B144" s="2" t="str">
        <x:v>S06</x:v>
      </x:c>
      <x:c r="C144" s="2" t="str">
        <x:v>gpt_clean</x:v>
      </x:c>
      <x:c r="D144" s="2" t="n">
        <x:v>2</x:v>
      </x:c>
      <x:c r="E144" s="8"/>
      <x:c r="F144" s="8"/>
      <x:c r="G144" s="9"/>
      <x:c r="H144" s="9"/>
      <x:c r="I144" s="8"/>
      <x:c r="J144" s="8"/>
      <x:c r="K144" s="2" t="str">
        <x:f>IF(OR(E144="",F144="",G144="",H144="",I144="",J144=""),"",IF(E144="Harness blocked","BLOCKED",IF(AND(E144="Present",F144="Supplied"),1,IF(OR(E144="Missing",E144="Not reached"),0,"CHECK"))))</x:f>
      </x:c>
      <x:c r="L144" s="2" t="str">
        <x:f>IF(ISNUMBER(K144),IF(AND(K144=1,I144="No"),1,0),K144)</x:f>
      </x:c>
      <x:c r="M144" s="2" t="n">
        <x:f>IF(ISNUMBER(K144),1,0)</x:f>
        <x:v>0</x:v>
      </x:c>
    </x:row>
    <x:row r="145" ht="24" customHeight="1">
      <x:c r="A145" s="2" t="str">
        <x:v>S06.04</x:v>
      </x:c>
      <x:c r="B145" s="2" t="str">
        <x:v>S06</x:v>
      </x:c>
      <x:c r="C145" s="2" t="str">
        <x:v>gpt_clean</x:v>
      </x:c>
      <x:c r="D145" s="2" t="n">
        <x:v>2</x:v>
      </x:c>
      <x:c r="E145" s="8"/>
      <x:c r="F145" s="8"/>
      <x:c r="G145" s="9"/>
      <x:c r="H145" s="9"/>
      <x:c r="I145" s="8"/>
      <x:c r="J145" s="8"/>
      <x:c r="K145" s="2" t="str">
        <x:f>IF(OR(E145="",F145="",G145="",H145="",I145="",J145=""),"",IF(E145="Harness blocked","BLOCKED",IF(AND(E145="Present",F145="Supplied"),1,IF(OR(E145="Missing",E145="Not reached"),0,"CHECK"))))</x:f>
      </x:c>
      <x:c r="L145" s="2" t="str">
        <x:f>IF(ISNUMBER(K145),IF(AND(K145=1,I145="No"),1,0),K145)</x:f>
      </x:c>
      <x:c r="M145" s="2" t="n">
        <x:f>IF(ISNUMBER(K145),1,0)</x:f>
        <x:v>0</x:v>
      </x:c>
    </x:row>
    <x:row r="146" ht="24" customHeight="1">
      <x:c r="A146" s="2" t="str">
        <x:v>S06.05</x:v>
      </x:c>
      <x:c r="B146" s="2" t="str">
        <x:v>S06</x:v>
      </x:c>
      <x:c r="C146" s="2" t="str">
        <x:v>gpt_clean</x:v>
      </x:c>
      <x:c r="D146" s="2" t="n">
        <x:v>2</x:v>
      </x:c>
      <x:c r="E146" s="8"/>
      <x:c r="F146" s="8"/>
      <x:c r="G146" s="9"/>
      <x:c r="H146" s="9"/>
      <x:c r="I146" s="8"/>
      <x:c r="J146" s="8"/>
      <x:c r="K146" s="2" t="str">
        <x:f>IF(OR(E146="",F146="",G146="",H146="",I146="",J146=""),"",IF(E146="Harness blocked","BLOCKED",IF(AND(E146="Present",F146="Supplied"),1,IF(OR(E146="Missing",E146="Not reached"),0,"CHECK"))))</x:f>
      </x:c>
      <x:c r="L146" s="2" t="str">
        <x:f>IF(ISNUMBER(K146),IF(AND(K146=1,I146="No"),1,0),K146)</x:f>
      </x:c>
      <x:c r="M146" s="2" t="n">
        <x:f>IF(ISNUMBER(K146),1,0)</x:f>
        <x:v>0</x:v>
      </x:c>
    </x:row>
    <x:row r="147" ht="24" customHeight="1">
      <x:c r="A147" s="2" t="str">
        <x:v>S06.06</x:v>
      </x:c>
      <x:c r="B147" s="2" t="str">
        <x:v>S06</x:v>
      </x:c>
      <x:c r="C147" s="2" t="str">
        <x:v>gpt_clean</x:v>
      </x:c>
      <x:c r="D147" s="2" t="n">
        <x:v>2</x:v>
      </x:c>
      <x:c r="E147" s="8"/>
      <x:c r="F147" s="8"/>
      <x:c r="G147" s="9"/>
      <x:c r="H147" s="9"/>
      <x:c r="I147" s="8"/>
      <x:c r="J147" s="8"/>
      <x:c r="K147" s="2" t="str">
        <x:f>IF(OR(E147="",F147="",G147="",H147="",I147="",J147=""),"",IF(E147="Harness blocked","BLOCKED",IF(AND(E147="Present",F147="Supplied"),1,IF(OR(E147="Missing",E147="Not reached"),0,"CHECK"))))</x:f>
      </x:c>
      <x:c r="L147" s="2" t="str">
        <x:f>IF(ISNUMBER(K147),IF(AND(K147=1,I147="No"),1,0),K147)</x:f>
      </x:c>
      <x:c r="M147" s="2" t="n">
        <x:f>IF(ISNUMBER(K147),1,0)</x:f>
        <x:v>0</x:v>
      </x:c>
    </x:row>
    <x:row r="148" ht="24" customHeight="1">
      <x:c r="A148" s="2" t="str">
        <x:v>S06.07</x:v>
      </x:c>
      <x:c r="B148" s="2" t="str">
        <x:v>S06</x:v>
      </x:c>
      <x:c r="C148" s="2" t="str">
        <x:v>gpt_clean</x:v>
      </x:c>
      <x:c r="D148" s="2" t="n">
        <x:v>2</x:v>
      </x:c>
      <x:c r="E148" s="8"/>
      <x:c r="F148" s="8"/>
      <x:c r="G148" s="9"/>
      <x:c r="H148" s="9"/>
      <x:c r="I148" s="8"/>
      <x:c r="J148" s="8"/>
      <x:c r="K148" s="2" t="str">
        <x:f>IF(OR(E148="",F148="",G148="",H148="",I148="",J148=""),"",IF(E148="Harness blocked","BLOCKED",IF(AND(E148="Present",F148="Supplied"),1,IF(OR(E148="Missing",E148="Not reached"),0,"CHECK"))))</x:f>
      </x:c>
      <x:c r="L148" s="2" t="str">
        <x:f>IF(ISNUMBER(K148),IF(AND(K148=1,I148="No"),1,0),K148)</x:f>
      </x:c>
      <x:c r="M148" s="2" t="n">
        <x:f>IF(ISNUMBER(K148),1,0)</x:f>
        <x:v>0</x:v>
      </x:c>
    </x:row>
    <x:row r="149" ht="24" customHeight="1">
      <x:c r="A149" s="2" t="str">
        <x:v>S06.08</x:v>
      </x:c>
      <x:c r="B149" s="2" t="str">
        <x:v>S06</x:v>
      </x:c>
      <x:c r="C149" s="2" t="str">
        <x:v>gpt_clean</x:v>
      </x:c>
      <x:c r="D149" s="2" t="n">
        <x:v>2</x:v>
      </x:c>
      <x:c r="E149" s="8"/>
      <x:c r="F149" s="8"/>
      <x:c r="G149" s="9"/>
      <x:c r="H149" s="9"/>
      <x:c r="I149" s="8"/>
      <x:c r="J149" s="8"/>
      <x:c r="K149" s="2" t="str">
        <x:f>IF(OR(E149="",F149="",G149="",H149="",I149="",J149=""),"",IF(E149="Harness blocked","BLOCKED",IF(AND(E149="Present",F149="Supplied"),1,IF(OR(E149="Missing",E149="Not reached"),0,"CHECK"))))</x:f>
      </x:c>
      <x:c r="L149" s="2" t="str">
        <x:f>IF(ISNUMBER(K149),IF(AND(K149=1,I149="No"),1,0),K149)</x:f>
      </x:c>
      <x:c r="M149" s="2" t="n">
        <x:f>IF(ISNUMBER(K149),1,0)</x:f>
        <x:v>0</x:v>
      </x:c>
    </x:row>
    <x:row r="150" ht="24" customHeight="1">
      <x:c r="A150" s="2" t="str">
        <x:v>S07.01</x:v>
      </x:c>
      <x:c r="B150" s="2" t="str">
        <x:v>S07</x:v>
      </x:c>
      <x:c r="C150" s="2" t="str">
        <x:v>gpt_clean</x:v>
      </x:c>
      <x:c r="D150" s="2" t="n">
        <x:v>2</x:v>
      </x:c>
      <x:c r="E150" s="8"/>
      <x:c r="F150" s="8"/>
      <x:c r="G150" s="9"/>
      <x:c r="H150" s="9"/>
      <x:c r="I150" s="8"/>
      <x:c r="J150" s="8"/>
      <x:c r="K150" s="2" t="str">
        <x:f>IF(OR(E150="",F150="",G150="",H150="",I150="",J150=""),"",IF(E150="Harness blocked","BLOCKED",IF(AND(E150="Present",F150="Supplied"),1,IF(OR(E150="Missing",E150="Not reached"),0,"CHECK"))))</x:f>
      </x:c>
      <x:c r="L150" s="2" t="str">
        <x:f>IF(ISNUMBER(K150),IF(AND(K150=1,I150="No"),1,0),K150)</x:f>
      </x:c>
      <x:c r="M150" s="2" t="n">
        <x:f>IF(ISNUMBER(K150),1,0)</x:f>
        <x:v>0</x:v>
      </x:c>
    </x:row>
    <x:row r="151" ht="24" customHeight="1">
      <x:c r="A151" s="2" t="str">
        <x:v>S07.02</x:v>
      </x:c>
      <x:c r="B151" s="2" t="str">
        <x:v>S07</x:v>
      </x:c>
      <x:c r="C151" s="2" t="str">
        <x:v>gpt_clean</x:v>
      </x:c>
      <x:c r="D151" s="2" t="n">
        <x:v>2</x:v>
      </x:c>
      <x:c r="E151" s="8"/>
      <x:c r="F151" s="8"/>
      <x:c r="G151" s="9"/>
      <x:c r="H151" s="9"/>
      <x:c r="I151" s="8"/>
      <x:c r="J151" s="8"/>
      <x:c r="K151" s="2" t="str">
        <x:f>IF(OR(E151="",F151="",G151="",H151="",I151="",J151=""),"",IF(E151="Harness blocked","BLOCKED",IF(AND(E151="Present",F151="Supplied"),1,IF(OR(E151="Missing",E151="Not reached"),0,"CHECK"))))</x:f>
      </x:c>
      <x:c r="L151" s="2" t="str">
        <x:f>IF(ISNUMBER(K151),IF(AND(K151=1,I151="No"),1,0),K151)</x:f>
      </x:c>
      <x:c r="M151" s="2" t="n">
        <x:f>IF(ISNUMBER(K151),1,0)</x:f>
        <x:v>0</x:v>
      </x:c>
    </x:row>
    <x:row r="152" ht="24" customHeight="1">
      <x:c r="A152" s="2" t="str">
        <x:v>S07.03</x:v>
      </x:c>
      <x:c r="B152" s="2" t="str">
        <x:v>S07</x:v>
      </x:c>
      <x:c r="C152" s="2" t="str">
        <x:v>gpt_clean</x:v>
      </x:c>
      <x:c r="D152" s="2" t="n">
        <x:v>2</x:v>
      </x:c>
      <x:c r="E152" s="8"/>
      <x:c r="F152" s="8"/>
      <x:c r="G152" s="9"/>
      <x:c r="H152" s="9"/>
      <x:c r="I152" s="8"/>
      <x:c r="J152" s="8"/>
      <x:c r="K152" s="2" t="str">
        <x:f>IF(OR(E152="",F152="",G152="",H152="",I152="",J152=""),"",IF(E152="Harness blocked","BLOCKED",IF(AND(E152="Present",F152="Supplied"),1,IF(OR(E152="Missing",E152="Not reached"),0,"CHECK"))))</x:f>
      </x:c>
      <x:c r="L152" s="2" t="str">
        <x:f>IF(ISNUMBER(K152),IF(AND(K152=1,I152="No"),1,0),K152)</x:f>
      </x:c>
      <x:c r="M152" s="2" t="n">
        <x:f>IF(ISNUMBER(K152),1,0)</x:f>
        <x:v>0</x:v>
      </x:c>
    </x:row>
    <x:row r="153" ht="24" customHeight="1">
      <x:c r="A153" s="2" t="str">
        <x:v>S07.04</x:v>
      </x:c>
      <x:c r="B153" s="2" t="str">
        <x:v>S07</x:v>
      </x:c>
      <x:c r="C153" s="2" t="str">
        <x:v>gpt_clean</x:v>
      </x:c>
      <x:c r="D153" s="2" t="n">
        <x:v>2</x:v>
      </x:c>
      <x:c r="E153" s="8"/>
      <x:c r="F153" s="8"/>
      <x:c r="G153" s="9"/>
      <x:c r="H153" s="9"/>
      <x:c r="I153" s="8"/>
      <x:c r="J153" s="8"/>
      <x:c r="K153" s="2" t="str">
        <x:f>IF(OR(E153="",F153="",G153="",H153="",I153="",J153=""),"",IF(E153="Harness blocked","BLOCKED",IF(AND(E153="Present",F153="Supplied"),1,IF(OR(E153="Missing",E153="Not reached"),0,"CHECK"))))</x:f>
      </x:c>
      <x:c r="L153" s="2" t="str">
        <x:f>IF(ISNUMBER(K153),IF(AND(K153=1,I153="No"),1,0),K153)</x:f>
      </x:c>
      <x:c r="M153" s="2" t="n">
        <x:f>IF(ISNUMBER(K153),1,0)</x:f>
        <x:v>0</x:v>
      </x:c>
    </x:row>
    <x:row r="154" ht="24" customHeight="1">
      <x:c r="A154" s="2" t="str">
        <x:v>S07.05</x:v>
      </x:c>
      <x:c r="B154" s="2" t="str">
        <x:v>S07</x:v>
      </x:c>
      <x:c r="C154" s="2" t="str">
        <x:v>gpt_clean</x:v>
      </x:c>
      <x:c r="D154" s="2" t="n">
        <x:v>2</x:v>
      </x:c>
      <x:c r="E154" s="8"/>
      <x:c r="F154" s="8"/>
      <x:c r="G154" s="9"/>
      <x:c r="H154" s="9"/>
      <x:c r="I154" s="8"/>
      <x:c r="J154" s="8"/>
      <x:c r="K154" s="2" t="str">
        <x:f>IF(OR(E154="",F154="",G154="",H154="",I154="",J154=""),"",IF(E154="Harness blocked","BLOCKED",IF(AND(E154="Present",F154="Supplied"),1,IF(OR(E154="Missing",E154="Not reached"),0,"CHECK"))))</x:f>
      </x:c>
      <x:c r="L154" s="2" t="str">
        <x:f>IF(ISNUMBER(K154),IF(AND(K154=1,I154="No"),1,0),K154)</x:f>
      </x:c>
      <x:c r="M154" s="2" t="n">
        <x:f>IF(ISNUMBER(K154),1,0)</x:f>
        <x:v>0</x:v>
      </x:c>
    </x:row>
    <x:row r="155" ht="24" customHeight="1">
      <x:c r="A155" s="2" t="str">
        <x:v>S07.06</x:v>
      </x:c>
      <x:c r="B155" s="2" t="str">
        <x:v>S07</x:v>
      </x:c>
      <x:c r="C155" s="2" t="str">
        <x:v>gpt_clean</x:v>
      </x:c>
      <x:c r="D155" s="2" t="n">
        <x:v>2</x:v>
      </x:c>
      <x:c r="E155" s="8"/>
      <x:c r="F155" s="8"/>
      <x:c r="G155" s="9"/>
      <x:c r="H155" s="9"/>
      <x:c r="I155" s="8"/>
      <x:c r="J155" s="8"/>
      <x:c r="K155" s="2" t="str">
        <x:f>IF(OR(E155="",F155="",G155="",H155="",I155="",J155=""),"",IF(E155="Harness blocked","BLOCKED",IF(AND(E155="Present",F155="Supplied"),1,IF(OR(E155="Missing",E155="Not reached"),0,"CHECK"))))</x:f>
      </x:c>
      <x:c r="L155" s="2" t="str">
        <x:f>IF(ISNUMBER(K155),IF(AND(K155=1,I155="No"),1,0),K155)</x:f>
      </x:c>
      <x:c r="M155" s="2" t="n">
        <x:f>IF(ISNUMBER(K155),1,0)</x:f>
        <x:v>0</x:v>
      </x:c>
    </x:row>
    <x:row r="156" ht="24" customHeight="1">
      <x:c r="A156" s="2" t="str">
        <x:v>S07.07</x:v>
      </x:c>
      <x:c r="B156" s="2" t="str">
        <x:v>S07</x:v>
      </x:c>
      <x:c r="C156" s="2" t="str">
        <x:v>gpt_clean</x:v>
      </x:c>
      <x:c r="D156" s="2" t="n">
        <x:v>2</x:v>
      </x:c>
      <x:c r="E156" s="8"/>
      <x:c r="F156" s="8"/>
      <x:c r="G156" s="9"/>
      <x:c r="H156" s="9"/>
      <x:c r="I156" s="8"/>
      <x:c r="J156" s="8"/>
      <x:c r="K156" s="2" t="str">
        <x:f>IF(OR(E156="",F156="",G156="",H156="",I156="",J156=""),"",IF(E156="Harness blocked","BLOCKED",IF(AND(E156="Present",F156="Supplied"),1,IF(OR(E156="Missing",E156="Not reached"),0,"CHECK"))))</x:f>
      </x:c>
      <x:c r="L156" s="2" t="str">
        <x:f>IF(ISNUMBER(K156),IF(AND(K156=1,I156="No"),1,0),K156)</x:f>
      </x:c>
      <x:c r="M156" s="2" t="n">
        <x:f>IF(ISNUMBER(K156),1,0)</x:f>
        <x:v>0</x:v>
      </x:c>
    </x:row>
    <x:row r="157" ht="24" customHeight="1">
      <x:c r="A157" s="2" t="str">
        <x:v>S07.08</x:v>
      </x:c>
      <x:c r="B157" s="2" t="str">
        <x:v>S07</x:v>
      </x:c>
      <x:c r="C157" s="2" t="str">
        <x:v>gpt_clean</x:v>
      </x:c>
      <x:c r="D157" s="2" t="n">
        <x:v>2</x:v>
      </x:c>
      <x:c r="E157" s="8"/>
      <x:c r="F157" s="8"/>
      <x:c r="G157" s="9"/>
      <x:c r="H157" s="9"/>
      <x:c r="I157" s="8"/>
      <x:c r="J157" s="8"/>
      <x:c r="K157" s="2" t="str">
        <x:f>IF(OR(E157="",F157="",G157="",H157="",I157="",J157=""),"",IF(E157="Harness blocked","BLOCKED",IF(AND(E157="Present",F157="Supplied"),1,IF(OR(E157="Missing",E157="Not reached"),0,"CHECK"))))</x:f>
      </x:c>
      <x:c r="L157" s="2" t="str">
        <x:f>IF(ISNUMBER(K157),IF(AND(K157=1,I157="No"),1,0),K157)</x:f>
      </x:c>
      <x:c r="M157" s="2" t="n">
        <x:f>IF(ISNUMBER(K157),1,0)</x:f>
        <x:v>0</x:v>
      </x:c>
    </x:row>
    <x:row r="158" ht="24" customHeight="1">
      <x:c r="A158" s="2" t="str">
        <x:v>S08.01</x:v>
      </x:c>
      <x:c r="B158" s="2" t="str">
        <x:v>S08</x:v>
      </x:c>
      <x:c r="C158" s="2" t="str">
        <x:v>gpt_clean</x:v>
      </x:c>
      <x:c r="D158" s="2" t="n">
        <x:v>2</x:v>
      </x:c>
      <x:c r="E158" s="8"/>
      <x:c r="F158" s="8"/>
      <x:c r="G158" s="9"/>
      <x:c r="H158" s="9"/>
      <x:c r="I158" s="8"/>
      <x:c r="J158" s="8"/>
      <x:c r="K158" s="2" t="str">
        <x:f>IF(OR(E158="",F158="",G158="",H158="",I158="",J158=""),"",IF(E158="Harness blocked","BLOCKED",IF(AND(E158="Present",F158="Supplied"),1,IF(OR(E158="Missing",E158="Not reached"),0,"CHECK"))))</x:f>
      </x:c>
      <x:c r="L158" s="2" t="str">
        <x:f>IF(ISNUMBER(K158),IF(AND(K158=1,I158="No"),1,0),K158)</x:f>
      </x:c>
      <x:c r="M158" s="2" t="n">
        <x:f>IF(ISNUMBER(K158),1,0)</x:f>
        <x:v>0</x:v>
      </x:c>
    </x:row>
    <x:row r="159" ht="24" customHeight="1">
      <x:c r="A159" s="2" t="str">
        <x:v>S08.02</x:v>
      </x:c>
      <x:c r="B159" s="2" t="str">
        <x:v>S08</x:v>
      </x:c>
      <x:c r="C159" s="2" t="str">
        <x:v>gpt_clean</x:v>
      </x:c>
      <x:c r="D159" s="2" t="n">
        <x:v>2</x:v>
      </x:c>
      <x:c r="E159" s="8"/>
      <x:c r="F159" s="8"/>
      <x:c r="G159" s="9"/>
      <x:c r="H159" s="9"/>
      <x:c r="I159" s="8"/>
      <x:c r="J159" s="8"/>
      <x:c r="K159" s="2" t="str">
        <x:f>IF(OR(E159="",F159="",G159="",H159="",I159="",J159=""),"",IF(E159="Harness blocked","BLOCKED",IF(AND(E159="Present",F159="Supplied"),1,IF(OR(E159="Missing",E159="Not reached"),0,"CHECK"))))</x:f>
      </x:c>
      <x:c r="L159" s="2" t="str">
        <x:f>IF(ISNUMBER(K159),IF(AND(K159=1,I159="No"),1,0),K159)</x:f>
      </x:c>
      <x:c r="M159" s="2" t="n">
        <x:f>IF(ISNUMBER(K159),1,0)</x:f>
        <x:v>0</x:v>
      </x:c>
    </x:row>
    <x:row r="160" ht="24" customHeight="1">
      <x:c r="A160" s="2" t="str">
        <x:v>S08.03</x:v>
      </x:c>
      <x:c r="B160" s="2" t="str">
        <x:v>S08</x:v>
      </x:c>
      <x:c r="C160" s="2" t="str">
        <x:v>gpt_clean</x:v>
      </x:c>
      <x:c r="D160" s="2" t="n">
        <x:v>2</x:v>
      </x:c>
      <x:c r="E160" s="8"/>
      <x:c r="F160" s="8"/>
      <x:c r="G160" s="9"/>
      <x:c r="H160" s="9"/>
      <x:c r="I160" s="8"/>
      <x:c r="J160" s="8"/>
      <x:c r="K160" s="2" t="str">
        <x:f>IF(OR(E160="",F160="",G160="",H160="",I160="",J160=""),"",IF(E160="Harness blocked","BLOCKED",IF(AND(E160="Present",F160="Supplied"),1,IF(OR(E160="Missing",E160="Not reached"),0,"CHECK"))))</x:f>
      </x:c>
      <x:c r="L160" s="2" t="str">
        <x:f>IF(ISNUMBER(K160),IF(AND(K160=1,I160="No"),1,0),K160)</x:f>
      </x:c>
      <x:c r="M160" s="2" t="n">
        <x:f>IF(ISNUMBER(K160),1,0)</x:f>
        <x:v>0</x:v>
      </x:c>
    </x:row>
    <x:row r="161" ht="24" customHeight="1">
      <x:c r="A161" s="2" t="str">
        <x:v>S08.04</x:v>
      </x:c>
      <x:c r="B161" s="2" t="str">
        <x:v>S08</x:v>
      </x:c>
      <x:c r="C161" s="2" t="str">
        <x:v>gpt_clean</x:v>
      </x:c>
      <x:c r="D161" s="2" t="n">
        <x:v>2</x:v>
      </x:c>
      <x:c r="E161" s="8"/>
      <x:c r="F161" s="8"/>
      <x:c r="G161" s="9"/>
      <x:c r="H161" s="9"/>
      <x:c r="I161" s="8"/>
      <x:c r="J161" s="8"/>
      <x:c r="K161" s="2" t="str">
        <x:f>IF(OR(E161="",F161="",G161="",H161="",I161="",J161=""),"",IF(E161="Harness blocked","BLOCKED",IF(AND(E161="Present",F161="Supplied"),1,IF(OR(E161="Missing",E161="Not reached"),0,"CHECK"))))</x:f>
      </x:c>
      <x:c r="L161" s="2" t="str">
        <x:f>IF(ISNUMBER(K161),IF(AND(K161=1,I161="No"),1,0),K161)</x:f>
      </x:c>
      <x:c r="M161" s="2" t="n">
        <x:f>IF(ISNUMBER(K161),1,0)</x:f>
        <x:v>0</x:v>
      </x:c>
    </x:row>
    <x:row r="162" ht="24" customHeight="1">
      <x:c r="A162" s="2" t="str">
        <x:v>S08.05</x:v>
      </x:c>
      <x:c r="B162" s="2" t="str">
        <x:v>S08</x:v>
      </x:c>
      <x:c r="C162" s="2" t="str">
        <x:v>gpt_clean</x:v>
      </x:c>
      <x:c r="D162" s="2" t="n">
        <x:v>2</x:v>
      </x:c>
      <x:c r="E162" s="8"/>
      <x:c r="F162" s="8"/>
      <x:c r="G162" s="9"/>
      <x:c r="H162" s="9"/>
      <x:c r="I162" s="8"/>
      <x:c r="J162" s="8"/>
      <x:c r="K162" s="2" t="str">
        <x:f>IF(OR(E162="",F162="",G162="",H162="",I162="",J162=""),"",IF(E162="Harness blocked","BLOCKED",IF(AND(E162="Present",F162="Supplied"),1,IF(OR(E162="Missing",E162="Not reached"),0,"CHECK"))))</x:f>
      </x:c>
      <x:c r="L162" s="2" t="str">
        <x:f>IF(ISNUMBER(K162),IF(AND(K162=1,I162="No"),1,0),K162)</x:f>
      </x:c>
      <x:c r="M162" s="2" t="n">
        <x:f>IF(ISNUMBER(K162),1,0)</x:f>
        <x:v>0</x:v>
      </x:c>
    </x:row>
    <x:row r="163" ht="24" customHeight="1">
      <x:c r="A163" s="2" t="str">
        <x:v>S08.06</x:v>
      </x:c>
      <x:c r="B163" s="2" t="str">
        <x:v>S08</x:v>
      </x:c>
      <x:c r="C163" s="2" t="str">
        <x:v>gpt_clean</x:v>
      </x:c>
      <x:c r="D163" s="2" t="n">
        <x:v>2</x:v>
      </x:c>
      <x:c r="E163" s="8"/>
      <x:c r="F163" s="8"/>
      <x:c r="G163" s="9"/>
      <x:c r="H163" s="9"/>
      <x:c r="I163" s="8"/>
      <x:c r="J163" s="8"/>
      <x:c r="K163" s="2" t="str">
        <x:f>IF(OR(E163="",F163="",G163="",H163="",I163="",J163=""),"",IF(E163="Harness blocked","BLOCKED",IF(AND(E163="Present",F163="Supplied"),1,IF(OR(E163="Missing",E163="Not reached"),0,"CHECK"))))</x:f>
      </x:c>
      <x:c r="L163" s="2" t="str">
        <x:f>IF(ISNUMBER(K163),IF(AND(K163=1,I163="No"),1,0),K163)</x:f>
      </x:c>
      <x:c r="M163" s="2" t="n">
        <x:f>IF(ISNUMBER(K163),1,0)</x:f>
        <x:v>0</x:v>
      </x:c>
    </x:row>
    <x:row r="164" ht="24" customHeight="1">
      <x:c r="A164" s="2" t="str">
        <x:v>S08.07</x:v>
      </x:c>
      <x:c r="B164" s="2" t="str">
        <x:v>S08</x:v>
      </x:c>
      <x:c r="C164" s="2" t="str">
        <x:v>gpt_clean</x:v>
      </x:c>
      <x:c r="D164" s="2" t="n">
        <x:v>2</x:v>
      </x:c>
      <x:c r="E164" s="8"/>
      <x:c r="F164" s="8"/>
      <x:c r="G164" s="9"/>
      <x:c r="H164" s="9"/>
      <x:c r="I164" s="8"/>
      <x:c r="J164" s="8"/>
      <x:c r="K164" s="2" t="str">
        <x:f>IF(OR(E164="",F164="",G164="",H164="",I164="",J164=""),"",IF(E164="Harness blocked","BLOCKED",IF(AND(E164="Present",F164="Supplied"),1,IF(OR(E164="Missing",E164="Not reached"),0,"CHECK"))))</x:f>
      </x:c>
      <x:c r="L164" s="2" t="str">
        <x:f>IF(ISNUMBER(K164),IF(AND(K164=1,I164="No"),1,0),K164)</x:f>
      </x:c>
      <x:c r="M164" s="2" t="n">
        <x:f>IF(ISNUMBER(K164),1,0)</x:f>
        <x:v>0</x:v>
      </x:c>
    </x:row>
    <x:row r="165" ht="24" customHeight="1">
      <x:c r="A165" s="2" t="str">
        <x:v>S08.08</x:v>
      </x:c>
      <x:c r="B165" s="2" t="str">
        <x:v>S08</x:v>
      </x:c>
      <x:c r="C165" s="2" t="str">
        <x:v>gpt_clean</x:v>
      </x:c>
      <x:c r="D165" s="2" t="n">
        <x:v>2</x:v>
      </x:c>
      <x:c r="E165" s="8"/>
      <x:c r="F165" s="8"/>
      <x:c r="G165" s="9"/>
      <x:c r="H165" s="9"/>
      <x:c r="I165" s="8"/>
      <x:c r="J165" s="8"/>
      <x:c r="K165" s="2" t="str">
        <x:f>IF(OR(E165="",F165="",G165="",H165="",I165="",J165=""),"",IF(E165="Harness blocked","BLOCKED",IF(AND(E165="Present",F165="Supplied"),1,IF(OR(E165="Missing",E165="Not reached"),0,"CHECK"))))</x:f>
      </x:c>
      <x:c r="L165" s="2" t="str">
        <x:f>IF(ISNUMBER(K165),IF(AND(K165=1,I165="No"),1,0),K165)</x:f>
      </x:c>
      <x:c r="M165" s="2" t="n">
        <x:f>IF(ISNUMBER(K165),1,0)</x:f>
        <x:v>0</x:v>
      </x:c>
    </x:row>
    <x:row r="166" ht="24" customHeight="1">
      <x:c r="A166" s="2" t="str">
        <x:v>S09.01</x:v>
      </x:c>
      <x:c r="B166" s="2" t="str">
        <x:v>S09</x:v>
      </x:c>
      <x:c r="C166" s="2" t="str">
        <x:v>gpt_clean</x:v>
      </x:c>
      <x:c r="D166" s="2" t="n">
        <x:v>2</x:v>
      </x:c>
      <x:c r="E166" s="8"/>
      <x:c r="F166" s="8"/>
      <x:c r="G166" s="9"/>
      <x:c r="H166" s="9"/>
      <x:c r="I166" s="8"/>
      <x:c r="J166" s="8"/>
      <x:c r="K166" s="2" t="str">
        <x:f>IF(OR(E166="",F166="",G166="",H166="",I166="",J166=""),"",IF(E166="Harness blocked","BLOCKED",IF(AND(E166="Present",F166="Supplied"),1,IF(OR(E166="Missing",E166="Not reached"),0,"CHECK"))))</x:f>
      </x:c>
      <x:c r="L166" s="2" t="str">
        <x:f>IF(ISNUMBER(K166),IF(AND(K166=1,I166="No"),1,0),K166)</x:f>
      </x:c>
      <x:c r="M166" s="2" t="n">
        <x:f>IF(ISNUMBER(K166),1,0)</x:f>
        <x:v>0</x:v>
      </x:c>
    </x:row>
    <x:row r="167" ht="24" customHeight="1">
      <x:c r="A167" s="2" t="str">
        <x:v>S09.02</x:v>
      </x:c>
      <x:c r="B167" s="2" t="str">
        <x:v>S09</x:v>
      </x:c>
      <x:c r="C167" s="2" t="str">
        <x:v>gpt_clean</x:v>
      </x:c>
      <x:c r="D167" s="2" t="n">
        <x:v>2</x:v>
      </x:c>
      <x:c r="E167" s="8"/>
      <x:c r="F167" s="8"/>
      <x:c r="G167" s="9"/>
      <x:c r="H167" s="9"/>
      <x:c r="I167" s="8"/>
      <x:c r="J167" s="8"/>
      <x:c r="K167" s="2" t="str">
        <x:f>IF(OR(E167="",F167="",G167="",H167="",I167="",J167=""),"",IF(E167="Harness blocked","BLOCKED",IF(AND(E167="Present",F167="Supplied"),1,IF(OR(E167="Missing",E167="Not reached"),0,"CHECK"))))</x:f>
      </x:c>
      <x:c r="L167" s="2" t="str">
        <x:f>IF(ISNUMBER(K167),IF(AND(K167=1,I167="No"),1,0),K167)</x:f>
      </x:c>
      <x:c r="M167" s="2" t="n">
        <x:f>IF(ISNUMBER(K167),1,0)</x:f>
        <x:v>0</x:v>
      </x:c>
    </x:row>
    <x:row r="168" ht="24" customHeight="1">
      <x:c r="A168" s="2" t="str">
        <x:v>S09.03</x:v>
      </x:c>
      <x:c r="B168" s="2" t="str">
        <x:v>S09</x:v>
      </x:c>
      <x:c r="C168" s="2" t="str">
        <x:v>gpt_clean</x:v>
      </x:c>
      <x:c r="D168" s="2" t="n">
        <x:v>2</x:v>
      </x:c>
      <x:c r="E168" s="8"/>
      <x:c r="F168" s="8"/>
      <x:c r="G168" s="9"/>
      <x:c r="H168" s="9"/>
      <x:c r="I168" s="8"/>
      <x:c r="J168" s="8"/>
      <x:c r="K168" s="2" t="str">
        <x:f>IF(OR(E168="",F168="",G168="",H168="",I168="",J168=""),"",IF(E168="Harness blocked","BLOCKED",IF(AND(E168="Present",F168="Supplied"),1,IF(OR(E168="Missing",E168="Not reached"),0,"CHECK"))))</x:f>
      </x:c>
      <x:c r="L168" s="2" t="str">
        <x:f>IF(ISNUMBER(K168),IF(AND(K168=1,I168="No"),1,0),K168)</x:f>
      </x:c>
      <x:c r="M168" s="2" t="n">
        <x:f>IF(ISNUMBER(K168),1,0)</x:f>
        <x:v>0</x:v>
      </x:c>
    </x:row>
    <x:row r="169" ht="24" customHeight="1">
      <x:c r="A169" s="2" t="str">
        <x:v>S09.04</x:v>
      </x:c>
      <x:c r="B169" s="2" t="str">
        <x:v>S09</x:v>
      </x:c>
      <x:c r="C169" s="2" t="str">
        <x:v>gpt_clean</x:v>
      </x:c>
      <x:c r="D169" s="2" t="n">
        <x:v>2</x:v>
      </x:c>
      <x:c r="E169" s="8"/>
      <x:c r="F169" s="8"/>
      <x:c r="G169" s="9"/>
      <x:c r="H169" s="9"/>
      <x:c r="I169" s="8"/>
      <x:c r="J169" s="8"/>
      <x:c r="K169" s="2" t="str">
        <x:f>IF(OR(E169="",F169="",G169="",H169="",I169="",J169=""),"",IF(E169="Harness blocked","BLOCKED",IF(AND(E169="Present",F169="Supplied"),1,IF(OR(E169="Missing",E169="Not reached"),0,"CHECK"))))</x:f>
      </x:c>
      <x:c r="L169" s="2" t="str">
        <x:f>IF(ISNUMBER(K169),IF(AND(K169=1,I169="No"),1,0),K169)</x:f>
      </x:c>
      <x:c r="M169" s="2" t="n">
        <x:f>IF(ISNUMBER(K169),1,0)</x:f>
        <x:v>0</x:v>
      </x:c>
    </x:row>
    <x:row r="170" ht="24" customHeight="1">
      <x:c r="A170" s="2" t="str">
        <x:v>S09.05</x:v>
      </x:c>
      <x:c r="B170" s="2" t="str">
        <x:v>S09</x:v>
      </x:c>
      <x:c r="C170" s="2" t="str">
        <x:v>gpt_clean</x:v>
      </x:c>
      <x:c r="D170" s="2" t="n">
        <x:v>2</x:v>
      </x:c>
      <x:c r="E170" s="8"/>
      <x:c r="F170" s="8"/>
      <x:c r="G170" s="9"/>
      <x:c r="H170" s="9"/>
      <x:c r="I170" s="8"/>
      <x:c r="J170" s="8"/>
      <x:c r="K170" s="2" t="str">
        <x:f>IF(OR(E170="",F170="",G170="",H170="",I170="",J170=""),"",IF(E170="Harness blocked","BLOCKED",IF(AND(E170="Present",F170="Supplied"),1,IF(OR(E170="Missing",E170="Not reached"),0,"CHECK"))))</x:f>
      </x:c>
      <x:c r="L170" s="2" t="str">
        <x:f>IF(ISNUMBER(K170),IF(AND(K170=1,I170="No"),1,0),K170)</x:f>
      </x:c>
      <x:c r="M170" s="2" t="n">
        <x:f>IF(ISNUMBER(K170),1,0)</x:f>
        <x:v>0</x:v>
      </x:c>
    </x:row>
    <x:row r="171" ht="24" customHeight="1">
      <x:c r="A171" s="2" t="str">
        <x:v>S09.06</x:v>
      </x:c>
      <x:c r="B171" s="2" t="str">
        <x:v>S09</x:v>
      </x:c>
      <x:c r="C171" s="2" t="str">
        <x:v>gpt_clean</x:v>
      </x:c>
      <x:c r="D171" s="2" t="n">
        <x:v>2</x:v>
      </x:c>
      <x:c r="E171" s="8"/>
      <x:c r="F171" s="8"/>
      <x:c r="G171" s="9"/>
      <x:c r="H171" s="9"/>
      <x:c r="I171" s="8"/>
      <x:c r="J171" s="8"/>
      <x:c r="K171" s="2" t="str">
        <x:f>IF(OR(E171="",F171="",G171="",H171="",I171="",J171=""),"",IF(E171="Harness blocked","BLOCKED",IF(AND(E171="Present",F171="Supplied"),1,IF(OR(E171="Missing",E171="Not reached"),0,"CHECK"))))</x:f>
      </x:c>
      <x:c r="L171" s="2" t="str">
        <x:f>IF(ISNUMBER(K171),IF(AND(K171=1,I171="No"),1,0),K171)</x:f>
      </x:c>
      <x:c r="M171" s="2" t="n">
        <x:f>IF(ISNUMBER(K171),1,0)</x:f>
        <x:v>0</x:v>
      </x:c>
    </x:row>
    <x:row r="172" ht="24" customHeight="1">
      <x:c r="A172" s="2" t="str">
        <x:v>S09.07</x:v>
      </x:c>
      <x:c r="B172" s="2" t="str">
        <x:v>S09</x:v>
      </x:c>
      <x:c r="C172" s="2" t="str">
        <x:v>gpt_clean</x:v>
      </x:c>
      <x:c r="D172" s="2" t="n">
        <x:v>2</x:v>
      </x:c>
      <x:c r="E172" s="8"/>
      <x:c r="F172" s="8"/>
      <x:c r="G172" s="9"/>
      <x:c r="H172" s="9"/>
      <x:c r="I172" s="8"/>
      <x:c r="J172" s="8"/>
      <x:c r="K172" s="2" t="str">
        <x:f>IF(OR(E172="",F172="",G172="",H172="",I172="",J172=""),"",IF(E172="Harness blocked","BLOCKED",IF(AND(E172="Present",F172="Supplied"),1,IF(OR(E172="Missing",E172="Not reached"),0,"CHECK"))))</x:f>
      </x:c>
      <x:c r="L172" s="2" t="str">
        <x:f>IF(ISNUMBER(K172),IF(AND(K172=1,I172="No"),1,0),K172)</x:f>
      </x:c>
      <x:c r="M172" s="2" t="n">
        <x:f>IF(ISNUMBER(K172),1,0)</x:f>
        <x:v>0</x:v>
      </x:c>
    </x:row>
    <x:row r="173" ht="24" customHeight="1">
      <x:c r="A173" s="2" t="str">
        <x:v>S09.08</x:v>
      </x:c>
      <x:c r="B173" s="2" t="str">
        <x:v>S09</x:v>
      </x:c>
      <x:c r="C173" s="2" t="str">
        <x:v>gpt_clean</x:v>
      </x:c>
      <x:c r="D173" s="2" t="n">
        <x:v>2</x:v>
      </x:c>
      <x:c r="E173" s="8"/>
      <x:c r="F173" s="8"/>
      <x:c r="G173" s="9"/>
      <x:c r="H173" s="9"/>
      <x:c r="I173" s="8"/>
      <x:c r="J173" s="8"/>
      <x:c r="K173" s="2" t="str">
        <x:f>IF(OR(E173="",F173="",G173="",H173="",I173="",J173=""),"",IF(E173="Harness blocked","BLOCKED",IF(AND(E173="Present",F173="Supplied"),1,IF(OR(E173="Missing",E173="Not reached"),0,"CHECK"))))</x:f>
      </x:c>
      <x:c r="L173" s="2" t="str">
        <x:f>IF(ISNUMBER(K173),IF(AND(K173=1,I173="No"),1,0),K173)</x:f>
      </x:c>
      <x:c r="M173" s="2" t="n">
        <x:f>IF(ISNUMBER(K173),1,0)</x:f>
        <x:v>0</x:v>
      </x:c>
    </x:row>
    <x:row r="174" ht="24" customHeight="1">
      <x:c r="A174" s="2" t="str">
        <x:v>S10.01</x:v>
      </x:c>
      <x:c r="B174" s="2" t="str">
        <x:v>S10</x:v>
      </x:c>
      <x:c r="C174" s="2" t="str">
        <x:v>gpt_clean</x:v>
      </x:c>
      <x:c r="D174" s="2" t="n">
        <x:v>2</x:v>
      </x:c>
      <x:c r="E174" s="8"/>
      <x:c r="F174" s="8"/>
      <x:c r="G174" s="9"/>
      <x:c r="H174" s="9"/>
      <x:c r="I174" s="8"/>
      <x:c r="J174" s="8"/>
      <x:c r="K174" s="2" t="str">
        <x:f>IF(OR(E174="",F174="",G174="",H174="",I174="",J174=""),"",IF(E174="Harness blocked","BLOCKED",IF(AND(E174="Present",F174="Supplied"),1,IF(OR(E174="Missing",E174="Not reached"),0,"CHECK"))))</x:f>
      </x:c>
      <x:c r="L174" s="2" t="str">
        <x:f>IF(ISNUMBER(K174),IF(AND(K174=1,I174="No"),1,0),K174)</x:f>
      </x:c>
      <x:c r="M174" s="2" t="n">
        <x:f>IF(ISNUMBER(K174),1,0)</x:f>
        <x:v>0</x:v>
      </x:c>
    </x:row>
    <x:row r="175" ht="24" customHeight="1">
      <x:c r="A175" s="2" t="str">
        <x:v>S10.02</x:v>
      </x:c>
      <x:c r="B175" s="2" t="str">
        <x:v>S10</x:v>
      </x:c>
      <x:c r="C175" s="2" t="str">
        <x:v>gpt_clean</x:v>
      </x:c>
      <x:c r="D175" s="2" t="n">
        <x:v>2</x:v>
      </x:c>
      <x:c r="E175" s="8"/>
      <x:c r="F175" s="8"/>
      <x:c r="G175" s="9"/>
      <x:c r="H175" s="9"/>
      <x:c r="I175" s="8"/>
      <x:c r="J175" s="8"/>
      <x:c r="K175" s="2" t="str">
        <x:f>IF(OR(E175="",F175="",G175="",H175="",I175="",J175=""),"",IF(E175="Harness blocked","BLOCKED",IF(AND(E175="Present",F175="Supplied"),1,IF(OR(E175="Missing",E175="Not reached"),0,"CHECK"))))</x:f>
      </x:c>
      <x:c r="L175" s="2" t="str">
        <x:f>IF(ISNUMBER(K175),IF(AND(K175=1,I175="No"),1,0),K175)</x:f>
      </x:c>
      <x:c r="M175" s="2" t="n">
        <x:f>IF(ISNUMBER(K175),1,0)</x:f>
        <x:v>0</x:v>
      </x:c>
    </x:row>
    <x:row r="176" ht="24" customHeight="1">
      <x:c r="A176" s="2" t="str">
        <x:v>S10.03</x:v>
      </x:c>
      <x:c r="B176" s="2" t="str">
        <x:v>S10</x:v>
      </x:c>
      <x:c r="C176" s="2" t="str">
        <x:v>gpt_clean</x:v>
      </x:c>
      <x:c r="D176" s="2" t="n">
        <x:v>2</x:v>
      </x:c>
      <x:c r="E176" s="8"/>
      <x:c r="F176" s="8"/>
      <x:c r="G176" s="9"/>
      <x:c r="H176" s="9"/>
      <x:c r="I176" s="8"/>
      <x:c r="J176" s="8"/>
      <x:c r="K176" s="2" t="str">
        <x:f>IF(OR(E176="",F176="",G176="",H176="",I176="",J176=""),"",IF(E176="Harness blocked","BLOCKED",IF(AND(E176="Present",F176="Supplied"),1,IF(OR(E176="Missing",E176="Not reached"),0,"CHECK"))))</x:f>
      </x:c>
      <x:c r="L176" s="2" t="str">
        <x:f>IF(ISNUMBER(K176),IF(AND(K176=1,I176="No"),1,0),K176)</x:f>
      </x:c>
      <x:c r="M176" s="2" t="n">
        <x:f>IF(ISNUMBER(K176),1,0)</x:f>
        <x:v>0</x:v>
      </x:c>
    </x:row>
    <x:row r="177" ht="24" customHeight="1">
      <x:c r="A177" s="2" t="str">
        <x:v>S10.04</x:v>
      </x:c>
      <x:c r="B177" s="2" t="str">
        <x:v>S10</x:v>
      </x:c>
      <x:c r="C177" s="2" t="str">
        <x:v>gpt_clean</x:v>
      </x:c>
      <x:c r="D177" s="2" t="n">
        <x:v>2</x:v>
      </x:c>
      <x:c r="E177" s="8"/>
      <x:c r="F177" s="8"/>
      <x:c r="G177" s="9"/>
      <x:c r="H177" s="9"/>
      <x:c r="I177" s="8"/>
      <x:c r="J177" s="8"/>
      <x:c r="K177" s="2" t="str">
        <x:f>IF(OR(E177="",F177="",G177="",H177="",I177="",J177=""),"",IF(E177="Harness blocked","BLOCKED",IF(AND(E177="Present",F177="Supplied"),1,IF(OR(E177="Missing",E177="Not reached"),0,"CHECK"))))</x:f>
      </x:c>
      <x:c r="L177" s="2" t="str">
        <x:f>IF(ISNUMBER(K177),IF(AND(K177=1,I177="No"),1,0),K177)</x:f>
      </x:c>
      <x:c r="M177" s="2" t="n">
        <x:f>IF(ISNUMBER(K177),1,0)</x:f>
        <x:v>0</x:v>
      </x:c>
    </x:row>
    <x:row r="178" ht="24" customHeight="1">
      <x:c r="A178" s="2" t="str">
        <x:v>S10.05</x:v>
      </x:c>
      <x:c r="B178" s="2" t="str">
        <x:v>S10</x:v>
      </x:c>
      <x:c r="C178" s="2" t="str">
        <x:v>gpt_clean</x:v>
      </x:c>
      <x:c r="D178" s="2" t="n">
        <x:v>2</x:v>
      </x:c>
      <x:c r="E178" s="8"/>
      <x:c r="F178" s="8"/>
      <x:c r="G178" s="9"/>
      <x:c r="H178" s="9"/>
      <x:c r="I178" s="8"/>
      <x:c r="J178" s="8"/>
      <x:c r="K178" s="2" t="str">
        <x:f>IF(OR(E178="",F178="",G178="",H178="",I178="",J178=""),"",IF(E178="Harness blocked","BLOCKED",IF(AND(E178="Present",F178="Supplied"),1,IF(OR(E178="Missing",E178="Not reached"),0,"CHECK"))))</x:f>
      </x:c>
      <x:c r="L178" s="2" t="str">
        <x:f>IF(ISNUMBER(K178),IF(AND(K178=1,I178="No"),1,0),K178)</x:f>
      </x:c>
      <x:c r="M178" s="2" t="n">
        <x:f>IF(ISNUMBER(K178),1,0)</x:f>
        <x:v>0</x:v>
      </x:c>
    </x:row>
    <x:row r="179" ht="24" customHeight="1">
      <x:c r="A179" s="2" t="str">
        <x:v>S10.06</x:v>
      </x:c>
      <x:c r="B179" s="2" t="str">
        <x:v>S10</x:v>
      </x:c>
      <x:c r="C179" s="2" t="str">
        <x:v>gpt_clean</x:v>
      </x:c>
      <x:c r="D179" s="2" t="n">
        <x:v>2</x:v>
      </x:c>
      <x:c r="E179" s="8"/>
      <x:c r="F179" s="8"/>
      <x:c r="G179" s="9"/>
      <x:c r="H179" s="9"/>
      <x:c r="I179" s="8"/>
      <x:c r="J179" s="8"/>
      <x:c r="K179" s="2" t="str">
        <x:f>IF(OR(E179="",F179="",G179="",H179="",I179="",J179=""),"",IF(E179="Harness blocked","BLOCKED",IF(AND(E179="Present",F179="Supplied"),1,IF(OR(E179="Missing",E179="Not reached"),0,"CHECK"))))</x:f>
      </x:c>
      <x:c r="L179" s="2" t="str">
        <x:f>IF(ISNUMBER(K179),IF(AND(K179=1,I179="No"),1,0),K179)</x:f>
      </x:c>
      <x:c r="M179" s="2" t="n">
        <x:f>IF(ISNUMBER(K179),1,0)</x:f>
        <x:v>0</x:v>
      </x:c>
    </x:row>
    <x:row r="180" ht="24" customHeight="1">
      <x:c r="A180" s="2" t="str">
        <x:v>S10.07</x:v>
      </x:c>
      <x:c r="B180" s="2" t="str">
        <x:v>S10</x:v>
      </x:c>
      <x:c r="C180" s="2" t="str">
        <x:v>gpt_clean</x:v>
      </x:c>
      <x:c r="D180" s="2" t="n">
        <x:v>2</x:v>
      </x:c>
      <x:c r="E180" s="8"/>
      <x:c r="F180" s="8"/>
      <x:c r="G180" s="9"/>
      <x:c r="H180" s="9"/>
      <x:c r="I180" s="8"/>
      <x:c r="J180" s="8"/>
      <x:c r="K180" s="2" t="str">
        <x:f>IF(OR(E180="",F180="",G180="",H180="",I180="",J180=""),"",IF(E180="Harness blocked","BLOCKED",IF(AND(E180="Present",F180="Supplied"),1,IF(OR(E180="Missing",E180="Not reached"),0,"CHECK"))))</x:f>
      </x:c>
      <x:c r="L180" s="2" t="str">
        <x:f>IF(ISNUMBER(K180),IF(AND(K180=1,I180="No"),1,0),K180)</x:f>
      </x:c>
      <x:c r="M180" s="2" t="n">
        <x:f>IF(ISNUMBER(K180),1,0)</x:f>
        <x:v>0</x:v>
      </x:c>
    </x:row>
    <x:row r="181" ht="24" customHeight="1">
      <x:c r="A181" s="2" t="str">
        <x:v>S10.08</x:v>
      </x:c>
      <x:c r="B181" s="2" t="str">
        <x:v>S10</x:v>
      </x:c>
      <x:c r="C181" s="2" t="str">
        <x:v>gpt_clean</x:v>
      </x:c>
      <x:c r="D181" s="2" t="n">
        <x:v>2</x:v>
      </x:c>
      <x:c r="E181" s="8"/>
      <x:c r="F181" s="8"/>
      <x:c r="G181" s="9"/>
      <x:c r="H181" s="9"/>
      <x:c r="I181" s="8"/>
      <x:c r="J181" s="8"/>
      <x:c r="K181" s="2" t="str">
        <x:f>IF(OR(E181="",F181="",G181="",H181="",I181="",J181=""),"",IF(E181="Harness blocked","BLOCKED",IF(AND(E181="Present",F181="Supplied"),1,IF(OR(E181="Missing",E181="Not reached"),0,"CHECK"))))</x:f>
      </x:c>
      <x:c r="L181" s="2" t="str">
        <x:f>IF(ISNUMBER(K181),IF(AND(K181=1,I181="No"),1,0),K181)</x:f>
      </x:c>
      <x:c r="M181" s="2" t="n">
        <x:f>IF(ISNUMBER(K181),1,0)</x:f>
        <x:v>0</x:v>
      </x:c>
    </x:row>
    <x:row r="182" ht="24" customHeight="1">
      <x:c r="A182" s="2" t="str">
        <x:v>S11.01</x:v>
      </x:c>
      <x:c r="B182" s="2" t="str">
        <x:v>S11</x:v>
      </x:c>
      <x:c r="C182" s="2" t="str">
        <x:v>gpt_clean</x:v>
      </x:c>
      <x:c r="D182" s="2" t="n">
        <x:v>2</x:v>
      </x:c>
      <x:c r="E182" s="8"/>
      <x:c r="F182" s="8"/>
      <x:c r="G182" s="9"/>
      <x:c r="H182" s="9"/>
      <x:c r="I182" s="8"/>
      <x:c r="J182" s="8"/>
      <x:c r="K182" s="2" t="str">
        <x:f>IF(OR(E182="",F182="",G182="",H182="",I182="",J182=""),"",IF(E182="Harness blocked","BLOCKED",IF(AND(E182="Present",F182="Supplied"),1,IF(OR(E182="Missing",E182="Not reached"),0,"CHECK"))))</x:f>
      </x:c>
      <x:c r="L182" s="2" t="str">
        <x:f>IF(ISNUMBER(K182),IF(AND(K182=1,I182="No"),1,0),K182)</x:f>
      </x:c>
      <x:c r="M182" s="2" t="n">
        <x:f>IF(ISNUMBER(K182),1,0)</x:f>
        <x:v>0</x:v>
      </x:c>
    </x:row>
    <x:row r="183" ht="24" customHeight="1">
      <x:c r="A183" s="2" t="str">
        <x:v>S11.02</x:v>
      </x:c>
      <x:c r="B183" s="2" t="str">
        <x:v>S11</x:v>
      </x:c>
      <x:c r="C183" s="2" t="str">
        <x:v>gpt_clean</x:v>
      </x:c>
      <x:c r="D183" s="2" t="n">
        <x:v>2</x:v>
      </x:c>
      <x:c r="E183" s="8"/>
      <x:c r="F183" s="8"/>
      <x:c r="G183" s="9"/>
      <x:c r="H183" s="9"/>
      <x:c r="I183" s="8"/>
      <x:c r="J183" s="8"/>
      <x:c r="K183" s="2" t="str">
        <x:f>IF(OR(E183="",F183="",G183="",H183="",I183="",J183=""),"",IF(E183="Harness blocked","BLOCKED",IF(AND(E183="Present",F183="Supplied"),1,IF(OR(E183="Missing",E183="Not reached"),0,"CHECK"))))</x:f>
      </x:c>
      <x:c r="L183" s="2" t="str">
        <x:f>IF(ISNUMBER(K183),IF(AND(K183=1,I183="No"),1,0),K183)</x:f>
      </x:c>
      <x:c r="M183" s="2" t="n">
        <x:f>IF(ISNUMBER(K183),1,0)</x:f>
        <x:v>0</x:v>
      </x:c>
    </x:row>
    <x:row r="184" ht="24" customHeight="1">
      <x:c r="A184" s="2" t="str">
        <x:v>S11.03</x:v>
      </x:c>
      <x:c r="B184" s="2" t="str">
        <x:v>S11</x:v>
      </x:c>
      <x:c r="C184" s="2" t="str">
        <x:v>gpt_clean</x:v>
      </x:c>
      <x:c r="D184" s="2" t="n">
        <x:v>2</x:v>
      </x:c>
      <x:c r="E184" s="8"/>
      <x:c r="F184" s="8"/>
      <x:c r="G184" s="9"/>
      <x:c r="H184" s="9"/>
      <x:c r="I184" s="8"/>
      <x:c r="J184" s="8"/>
      <x:c r="K184" s="2" t="str">
        <x:f>IF(OR(E184="",F184="",G184="",H184="",I184="",J184=""),"",IF(E184="Harness blocked","BLOCKED",IF(AND(E184="Present",F184="Supplied"),1,IF(OR(E184="Missing",E184="Not reached"),0,"CHECK"))))</x:f>
      </x:c>
      <x:c r="L184" s="2" t="str">
        <x:f>IF(ISNUMBER(K184),IF(AND(K184=1,I184="No"),1,0),K184)</x:f>
      </x:c>
      <x:c r="M184" s="2" t="n">
        <x:f>IF(ISNUMBER(K184),1,0)</x:f>
        <x:v>0</x:v>
      </x:c>
    </x:row>
    <x:row r="185" ht="24" customHeight="1">
      <x:c r="A185" s="2" t="str">
        <x:v>S11.04</x:v>
      </x:c>
      <x:c r="B185" s="2" t="str">
        <x:v>S11</x:v>
      </x:c>
      <x:c r="C185" s="2" t="str">
        <x:v>gpt_clean</x:v>
      </x:c>
      <x:c r="D185" s="2" t="n">
        <x:v>2</x:v>
      </x:c>
      <x:c r="E185" s="8"/>
      <x:c r="F185" s="8"/>
      <x:c r="G185" s="9"/>
      <x:c r="H185" s="9"/>
      <x:c r="I185" s="8"/>
      <x:c r="J185" s="8"/>
      <x:c r="K185" s="2" t="str">
        <x:f>IF(OR(E185="",F185="",G185="",H185="",I185="",J185=""),"",IF(E185="Harness blocked","BLOCKED",IF(AND(E185="Present",F185="Supplied"),1,IF(OR(E185="Missing",E185="Not reached"),0,"CHECK"))))</x:f>
      </x:c>
      <x:c r="L185" s="2" t="str">
        <x:f>IF(ISNUMBER(K185),IF(AND(K185=1,I185="No"),1,0),K185)</x:f>
      </x:c>
      <x:c r="M185" s="2" t="n">
        <x:f>IF(ISNUMBER(K185),1,0)</x:f>
        <x:v>0</x:v>
      </x:c>
    </x:row>
    <x:row r="186" ht="24" customHeight="1">
      <x:c r="A186" s="2" t="str">
        <x:v>S11.05</x:v>
      </x:c>
      <x:c r="B186" s="2" t="str">
        <x:v>S11</x:v>
      </x:c>
      <x:c r="C186" s="2" t="str">
        <x:v>gpt_clean</x:v>
      </x:c>
      <x:c r="D186" s="2" t="n">
        <x:v>2</x:v>
      </x:c>
      <x:c r="E186" s="8"/>
      <x:c r="F186" s="8"/>
      <x:c r="G186" s="9"/>
      <x:c r="H186" s="9"/>
      <x:c r="I186" s="8"/>
      <x:c r="J186" s="8"/>
      <x:c r="K186" s="2" t="str">
        <x:f>IF(OR(E186="",F186="",G186="",H186="",I186="",J186=""),"",IF(E186="Harness blocked","BLOCKED",IF(AND(E186="Present",F186="Supplied"),1,IF(OR(E186="Missing",E186="Not reached"),0,"CHECK"))))</x:f>
      </x:c>
      <x:c r="L186" s="2" t="str">
        <x:f>IF(ISNUMBER(K186),IF(AND(K186=1,I186="No"),1,0),K186)</x:f>
      </x:c>
      <x:c r="M186" s="2" t="n">
        <x:f>IF(ISNUMBER(K186),1,0)</x:f>
        <x:v>0</x:v>
      </x:c>
    </x:row>
    <x:row r="187" ht="24" customHeight="1">
      <x:c r="A187" s="2" t="str">
        <x:v>S11.06</x:v>
      </x:c>
      <x:c r="B187" s="2" t="str">
        <x:v>S11</x:v>
      </x:c>
      <x:c r="C187" s="2" t="str">
        <x:v>gpt_clean</x:v>
      </x:c>
      <x:c r="D187" s="2" t="n">
        <x:v>2</x:v>
      </x:c>
      <x:c r="E187" s="8"/>
      <x:c r="F187" s="8"/>
      <x:c r="G187" s="9"/>
      <x:c r="H187" s="9"/>
      <x:c r="I187" s="8"/>
      <x:c r="J187" s="8"/>
      <x:c r="K187" s="2" t="str">
        <x:f>IF(OR(E187="",F187="",G187="",H187="",I187="",J187=""),"",IF(E187="Harness blocked","BLOCKED",IF(AND(E187="Present",F187="Supplied"),1,IF(OR(E187="Missing",E187="Not reached"),0,"CHECK"))))</x:f>
      </x:c>
      <x:c r="L187" s="2" t="str">
        <x:f>IF(ISNUMBER(K187),IF(AND(K187=1,I187="No"),1,0),K187)</x:f>
      </x:c>
      <x:c r="M187" s="2" t="n">
        <x:f>IF(ISNUMBER(K187),1,0)</x:f>
        <x:v>0</x:v>
      </x:c>
    </x:row>
    <x:row r="188" ht="24" customHeight="1">
      <x:c r="A188" s="2" t="str">
        <x:v>S11.07</x:v>
      </x:c>
      <x:c r="B188" s="2" t="str">
        <x:v>S11</x:v>
      </x:c>
      <x:c r="C188" s="2" t="str">
        <x:v>gpt_clean</x:v>
      </x:c>
      <x:c r="D188" s="2" t="n">
        <x:v>2</x:v>
      </x:c>
      <x:c r="E188" s="8"/>
      <x:c r="F188" s="8"/>
      <x:c r="G188" s="9"/>
      <x:c r="H188" s="9"/>
      <x:c r="I188" s="8"/>
      <x:c r="J188" s="8"/>
      <x:c r="K188" s="2" t="str">
        <x:f>IF(OR(E188="",F188="",G188="",H188="",I188="",J188=""),"",IF(E188="Harness blocked","BLOCKED",IF(AND(E188="Present",F188="Supplied"),1,IF(OR(E188="Missing",E188="Not reached"),0,"CHECK"))))</x:f>
      </x:c>
      <x:c r="L188" s="2" t="str">
        <x:f>IF(ISNUMBER(K188),IF(AND(K188=1,I188="No"),1,0),K188)</x:f>
      </x:c>
      <x:c r="M188" s="2" t="n">
        <x:f>IF(ISNUMBER(K188),1,0)</x:f>
        <x:v>0</x:v>
      </x:c>
    </x:row>
    <x:row r="189" ht="24" customHeight="1">
      <x:c r="A189" s="2" t="str">
        <x:v>S11.08</x:v>
      </x:c>
      <x:c r="B189" s="2" t="str">
        <x:v>S11</x:v>
      </x:c>
      <x:c r="C189" s="2" t="str">
        <x:v>gpt_clean</x:v>
      </x:c>
      <x:c r="D189" s="2" t="n">
        <x:v>2</x:v>
      </x:c>
      <x:c r="E189" s="8"/>
      <x:c r="F189" s="8"/>
      <x:c r="G189" s="9"/>
      <x:c r="H189" s="9"/>
      <x:c r="I189" s="8"/>
      <x:c r="J189" s="8"/>
      <x:c r="K189" s="2" t="str">
        <x:f>IF(OR(E189="",F189="",G189="",H189="",I189="",J189=""),"",IF(E189="Harness blocked","BLOCKED",IF(AND(E189="Present",F189="Supplied"),1,IF(OR(E189="Missing",E189="Not reached"),0,"CHECK"))))</x:f>
      </x:c>
      <x:c r="L189" s="2" t="str">
        <x:f>IF(ISNUMBER(K189),IF(AND(K189=1,I189="No"),1,0),K189)</x:f>
      </x:c>
      <x:c r="M189" s="2" t="n">
        <x:f>IF(ISNUMBER(K189),1,0)</x:f>
        <x:v>0</x:v>
      </x:c>
    </x:row>
    <x:row r="190" ht="24" customHeight="1">
      <x:c r="A190" s="2" t="str">
        <x:v>S12.01</x:v>
      </x:c>
      <x:c r="B190" s="2" t="str">
        <x:v>S12</x:v>
      </x:c>
      <x:c r="C190" s="2" t="str">
        <x:v>gpt_clean</x:v>
      </x:c>
      <x:c r="D190" s="2" t="n">
        <x:v>2</x:v>
      </x:c>
      <x:c r="E190" s="8"/>
      <x:c r="F190" s="8"/>
      <x:c r="G190" s="9"/>
      <x:c r="H190" s="9"/>
      <x:c r="I190" s="8"/>
      <x:c r="J190" s="8"/>
      <x:c r="K190" s="2" t="str">
        <x:f>IF(OR(E190="",F190="",G190="",H190="",I190="",J190=""),"",IF(E190="Harness blocked","BLOCKED",IF(AND(E190="Present",F190="Supplied"),1,IF(OR(E190="Missing",E190="Not reached"),0,"CHECK"))))</x:f>
      </x:c>
      <x:c r="L190" s="2" t="str">
        <x:f>IF(ISNUMBER(K190),IF(AND(K190=1,I190="No"),1,0),K190)</x:f>
      </x:c>
      <x:c r="M190" s="2" t="n">
        <x:f>IF(ISNUMBER(K190),1,0)</x:f>
        <x:v>0</x:v>
      </x:c>
    </x:row>
    <x:row r="191" ht="24" customHeight="1">
      <x:c r="A191" s="2" t="str">
        <x:v>S12.02</x:v>
      </x:c>
      <x:c r="B191" s="2" t="str">
        <x:v>S12</x:v>
      </x:c>
      <x:c r="C191" s="2" t="str">
        <x:v>gpt_clean</x:v>
      </x:c>
      <x:c r="D191" s="2" t="n">
        <x:v>2</x:v>
      </x:c>
      <x:c r="E191" s="8"/>
      <x:c r="F191" s="8"/>
      <x:c r="G191" s="9"/>
      <x:c r="H191" s="9"/>
      <x:c r="I191" s="8"/>
      <x:c r="J191" s="8"/>
      <x:c r="K191" s="2" t="str">
        <x:f>IF(OR(E191="",F191="",G191="",H191="",I191="",J191=""),"",IF(E191="Harness blocked","BLOCKED",IF(AND(E191="Present",F191="Supplied"),1,IF(OR(E191="Missing",E191="Not reached"),0,"CHECK"))))</x:f>
      </x:c>
      <x:c r="L191" s="2" t="str">
        <x:f>IF(ISNUMBER(K191),IF(AND(K191=1,I191="No"),1,0),K191)</x:f>
      </x:c>
      <x:c r="M191" s="2" t="n">
        <x:f>IF(ISNUMBER(K191),1,0)</x:f>
        <x:v>0</x:v>
      </x:c>
    </x:row>
    <x:row r="192" ht="24" customHeight="1">
      <x:c r="A192" s="2" t="str">
        <x:v>S12.03</x:v>
      </x:c>
      <x:c r="B192" s="2" t="str">
        <x:v>S12</x:v>
      </x:c>
      <x:c r="C192" s="2" t="str">
        <x:v>gpt_clean</x:v>
      </x:c>
      <x:c r="D192" s="2" t="n">
        <x:v>2</x:v>
      </x:c>
      <x:c r="E192" s="8"/>
      <x:c r="F192" s="8"/>
      <x:c r="G192" s="9"/>
      <x:c r="H192" s="9"/>
      <x:c r="I192" s="8"/>
      <x:c r="J192" s="8"/>
      <x:c r="K192" s="2" t="str">
        <x:f>IF(OR(E192="",F192="",G192="",H192="",I192="",J192=""),"",IF(E192="Harness blocked","BLOCKED",IF(AND(E192="Present",F192="Supplied"),1,IF(OR(E192="Missing",E192="Not reached"),0,"CHECK"))))</x:f>
      </x:c>
      <x:c r="L192" s="2" t="str">
        <x:f>IF(ISNUMBER(K192),IF(AND(K192=1,I192="No"),1,0),K192)</x:f>
      </x:c>
      <x:c r="M192" s="2" t="n">
        <x:f>IF(ISNUMBER(K192),1,0)</x:f>
        <x:v>0</x:v>
      </x:c>
    </x:row>
    <x:row r="193" ht="24" customHeight="1">
      <x:c r="A193" s="2" t="str">
        <x:v>S12.04</x:v>
      </x:c>
      <x:c r="B193" s="2" t="str">
        <x:v>S12</x:v>
      </x:c>
      <x:c r="C193" s="2" t="str">
        <x:v>gpt_clean</x:v>
      </x:c>
      <x:c r="D193" s="2" t="n">
        <x:v>2</x:v>
      </x:c>
      <x:c r="E193" s="8"/>
      <x:c r="F193" s="8"/>
      <x:c r="G193" s="9"/>
      <x:c r="H193" s="9"/>
      <x:c r="I193" s="8"/>
      <x:c r="J193" s="8"/>
      <x:c r="K193" s="2" t="str">
        <x:f>IF(OR(E193="",F193="",G193="",H193="",I193="",J193=""),"",IF(E193="Harness blocked","BLOCKED",IF(AND(E193="Present",F193="Supplied"),1,IF(OR(E193="Missing",E193="Not reached"),0,"CHECK"))))</x:f>
      </x:c>
      <x:c r="L193" s="2" t="str">
        <x:f>IF(ISNUMBER(K193),IF(AND(K193=1,I193="No"),1,0),K193)</x:f>
      </x:c>
      <x:c r="M193" s="2" t="n">
        <x:f>IF(ISNUMBER(K193),1,0)</x:f>
        <x:v>0</x:v>
      </x:c>
    </x:row>
    <x:row r="194" ht="24" customHeight="1">
      <x:c r="A194" s="2" t="str">
        <x:v>S12.05</x:v>
      </x:c>
      <x:c r="B194" s="2" t="str">
        <x:v>S12</x:v>
      </x:c>
      <x:c r="C194" s="2" t="str">
        <x:v>gpt_clean</x:v>
      </x:c>
      <x:c r="D194" s="2" t="n">
        <x:v>2</x:v>
      </x:c>
      <x:c r="E194" s="8"/>
      <x:c r="F194" s="8"/>
      <x:c r="G194" s="9"/>
      <x:c r="H194" s="9"/>
      <x:c r="I194" s="8"/>
      <x:c r="J194" s="8"/>
      <x:c r="K194" s="2" t="str">
        <x:f>IF(OR(E194="",F194="",G194="",H194="",I194="",J194=""),"",IF(E194="Harness blocked","BLOCKED",IF(AND(E194="Present",F194="Supplied"),1,IF(OR(E194="Missing",E194="Not reached"),0,"CHECK"))))</x:f>
      </x:c>
      <x:c r="L194" s="2" t="str">
        <x:f>IF(ISNUMBER(K194),IF(AND(K194=1,I194="No"),1,0),K194)</x:f>
      </x:c>
      <x:c r="M194" s="2" t="n">
        <x:f>IF(ISNUMBER(K194),1,0)</x:f>
        <x:v>0</x:v>
      </x:c>
    </x:row>
    <x:row r="195" ht="24" customHeight="1">
      <x:c r="A195" s="2" t="str">
        <x:v>S12.06</x:v>
      </x:c>
      <x:c r="B195" s="2" t="str">
        <x:v>S12</x:v>
      </x:c>
      <x:c r="C195" s="2" t="str">
        <x:v>gpt_clean</x:v>
      </x:c>
      <x:c r="D195" s="2" t="n">
        <x:v>2</x:v>
      </x:c>
      <x:c r="E195" s="8"/>
      <x:c r="F195" s="8"/>
      <x:c r="G195" s="9"/>
      <x:c r="H195" s="9"/>
      <x:c r="I195" s="8"/>
      <x:c r="J195" s="8"/>
      <x:c r="K195" s="2" t="str">
        <x:f>IF(OR(E195="",F195="",G195="",H195="",I195="",J195=""),"",IF(E195="Harness blocked","BLOCKED",IF(AND(E195="Present",F195="Supplied"),1,IF(OR(E195="Missing",E195="Not reached"),0,"CHECK"))))</x:f>
      </x:c>
      <x:c r="L195" s="2" t="str">
        <x:f>IF(ISNUMBER(K195),IF(AND(K195=1,I195="No"),1,0),K195)</x:f>
      </x:c>
      <x:c r="M195" s="2" t="n">
        <x:f>IF(ISNUMBER(K195),1,0)</x:f>
        <x:v>0</x:v>
      </x:c>
    </x:row>
    <x:row r="196" ht="24" customHeight="1">
      <x:c r="A196" s="2" t="str">
        <x:v>S12.07</x:v>
      </x:c>
      <x:c r="B196" s="2" t="str">
        <x:v>S12</x:v>
      </x:c>
      <x:c r="C196" s="2" t="str">
        <x:v>gpt_clean</x:v>
      </x:c>
      <x:c r="D196" s="2" t="n">
        <x:v>2</x:v>
      </x:c>
      <x:c r="E196" s="8"/>
      <x:c r="F196" s="8"/>
      <x:c r="G196" s="9"/>
      <x:c r="H196" s="9"/>
      <x:c r="I196" s="8"/>
      <x:c r="J196" s="8"/>
      <x:c r="K196" s="2" t="str">
        <x:f>IF(OR(E196="",F196="",G196="",H196="",I196="",J196=""),"",IF(E196="Harness blocked","BLOCKED",IF(AND(E196="Present",F196="Supplied"),1,IF(OR(E196="Missing",E196="Not reached"),0,"CHECK"))))</x:f>
      </x:c>
      <x:c r="L196" s="2" t="str">
        <x:f>IF(ISNUMBER(K196),IF(AND(K196=1,I196="No"),1,0),K196)</x:f>
      </x:c>
      <x:c r="M196" s="2" t="n">
        <x:f>IF(ISNUMBER(K196),1,0)</x:f>
        <x:v>0</x:v>
      </x:c>
    </x:row>
    <x:row r="197" ht="24" customHeight="1">
      <x:c r="A197" s="2" t="str">
        <x:v>S12.08</x:v>
      </x:c>
      <x:c r="B197" s="2" t="str">
        <x:v>S12</x:v>
      </x:c>
      <x:c r="C197" s="2" t="str">
        <x:v>gpt_clean</x:v>
      </x:c>
      <x:c r="D197" s="2" t="n">
        <x:v>2</x:v>
      </x:c>
      <x:c r="E197" s="8"/>
      <x:c r="F197" s="8"/>
      <x:c r="G197" s="9"/>
      <x:c r="H197" s="9"/>
      <x:c r="I197" s="8"/>
      <x:c r="J197" s="8"/>
      <x:c r="K197" s="2" t="str">
        <x:f>IF(OR(E197="",F197="",G197="",H197="",I197="",J197=""),"",IF(E197="Harness blocked","BLOCKED",IF(AND(E197="Present",F197="Supplied"),1,IF(OR(E197="Missing",E197="Not reached"),0,"CHECK"))))</x:f>
      </x:c>
      <x:c r="L197" s="2" t="str">
        <x:f>IF(ISNUMBER(K197),IF(AND(K197=1,I197="No"),1,0),K197)</x:f>
      </x:c>
      <x:c r="M197" s="2" t="n">
        <x:f>IF(ISNUMBER(K197),1,0)</x:f>
        <x:v>0</x:v>
      </x:c>
    </x:row>
    <x:row r="198" ht="24" customHeight="1">
      <x:c r="A198" s="2" t="str">
        <x:v>S01.01</x:v>
      </x:c>
      <x:c r="B198" s="2" t="str">
        <x:v>S01</x:v>
      </x:c>
      <x:c r="C198" s="2" t="str">
        <x:v>gpt_clean</x:v>
      </x:c>
      <x:c r="D198" s="2" t="n">
        <x:v>3</x:v>
      </x:c>
      <x:c r="E198" s="8"/>
      <x:c r="F198" s="8"/>
      <x:c r="G198" s="9"/>
      <x:c r="H198" s="9"/>
      <x:c r="I198" s="8"/>
      <x:c r="J198" s="8"/>
      <x:c r="K198" s="2" t="str">
        <x:f>IF(OR(E198="",F198="",G198="",H198="",I198="",J198=""),"",IF(E198="Harness blocked","BLOCKED",IF(AND(E198="Present",F198="Supplied"),1,IF(OR(E198="Missing",E198="Not reached"),0,"CHECK"))))</x:f>
      </x:c>
      <x:c r="L198" s="2" t="str">
        <x:f>IF(ISNUMBER(K198),IF(AND(K198=1,I198="No"),1,0),K198)</x:f>
      </x:c>
      <x:c r="M198" s="2" t="n">
        <x:f>IF(ISNUMBER(K198),1,0)</x:f>
        <x:v>0</x:v>
      </x:c>
    </x:row>
    <x:row r="199" ht="24" customHeight="1">
      <x:c r="A199" s="2" t="str">
        <x:v>S01.02</x:v>
      </x:c>
      <x:c r="B199" s="2" t="str">
        <x:v>S01</x:v>
      </x:c>
      <x:c r="C199" s="2" t="str">
        <x:v>gpt_clean</x:v>
      </x:c>
      <x:c r="D199" s="2" t="n">
        <x:v>3</x:v>
      </x:c>
      <x:c r="E199" s="8"/>
      <x:c r="F199" s="8"/>
      <x:c r="G199" s="9"/>
      <x:c r="H199" s="9"/>
      <x:c r="I199" s="8"/>
      <x:c r="J199" s="8"/>
      <x:c r="K199" s="2" t="str">
        <x:f>IF(OR(E199="",F199="",G199="",H199="",I199="",J199=""),"",IF(E199="Harness blocked","BLOCKED",IF(AND(E199="Present",F199="Supplied"),1,IF(OR(E199="Missing",E199="Not reached"),0,"CHECK"))))</x:f>
      </x:c>
      <x:c r="L199" s="2" t="str">
        <x:f>IF(ISNUMBER(K199),IF(AND(K199=1,I199="No"),1,0),K199)</x:f>
      </x:c>
      <x:c r="M199" s="2" t="n">
        <x:f>IF(ISNUMBER(K199),1,0)</x:f>
        <x:v>0</x:v>
      </x:c>
    </x:row>
    <x:row r="200" ht="24" customHeight="1">
      <x:c r="A200" s="2" t="str">
        <x:v>S01.03</x:v>
      </x:c>
      <x:c r="B200" s="2" t="str">
        <x:v>S01</x:v>
      </x:c>
      <x:c r="C200" s="2" t="str">
        <x:v>gpt_clean</x:v>
      </x:c>
      <x:c r="D200" s="2" t="n">
        <x:v>3</x:v>
      </x:c>
      <x:c r="E200" s="8"/>
      <x:c r="F200" s="8"/>
      <x:c r="G200" s="9"/>
      <x:c r="H200" s="9"/>
      <x:c r="I200" s="8"/>
      <x:c r="J200" s="8"/>
      <x:c r="K200" s="2" t="str">
        <x:f>IF(OR(E200="",F200="",G200="",H200="",I200="",J200=""),"",IF(E200="Harness blocked","BLOCKED",IF(AND(E200="Present",F200="Supplied"),1,IF(OR(E200="Missing",E200="Not reached"),0,"CHECK"))))</x:f>
      </x:c>
      <x:c r="L200" s="2" t="str">
        <x:f>IF(ISNUMBER(K200),IF(AND(K200=1,I200="No"),1,0),K200)</x:f>
      </x:c>
      <x:c r="M200" s="2" t="n">
        <x:f>IF(ISNUMBER(K200),1,0)</x:f>
        <x:v>0</x:v>
      </x:c>
    </x:row>
    <x:row r="201" ht="24" customHeight="1">
      <x:c r="A201" s="2" t="str">
        <x:v>S01.04</x:v>
      </x:c>
      <x:c r="B201" s="2" t="str">
        <x:v>S01</x:v>
      </x:c>
      <x:c r="C201" s="2" t="str">
        <x:v>gpt_clean</x:v>
      </x:c>
      <x:c r="D201" s="2" t="n">
        <x:v>3</x:v>
      </x:c>
      <x:c r="E201" s="8"/>
      <x:c r="F201" s="8"/>
      <x:c r="G201" s="9"/>
      <x:c r="H201" s="9"/>
      <x:c r="I201" s="8"/>
      <x:c r="J201" s="8"/>
      <x:c r="K201" s="2" t="str">
        <x:f>IF(OR(E201="",F201="",G201="",H201="",I201="",J201=""),"",IF(E201="Harness blocked","BLOCKED",IF(AND(E201="Present",F201="Supplied"),1,IF(OR(E201="Missing",E201="Not reached"),0,"CHECK"))))</x:f>
      </x:c>
      <x:c r="L201" s="2" t="str">
        <x:f>IF(ISNUMBER(K201),IF(AND(K201=1,I201="No"),1,0),K201)</x:f>
      </x:c>
      <x:c r="M201" s="2" t="n">
        <x:f>IF(ISNUMBER(K201),1,0)</x:f>
        <x:v>0</x:v>
      </x:c>
    </x:row>
    <x:row r="202" ht="24" customHeight="1">
      <x:c r="A202" s="2" t="str">
        <x:v>S01.05</x:v>
      </x:c>
      <x:c r="B202" s="2" t="str">
        <x:v>S01</x:v>
      </x:c>
      <x:c r="C202" s="2" t="str">
        <x:v>gpt_clean</x:v>
      </x:c>
      <x:c r="D202" s="2" t="n">
        <x:v>3</x:v>
      </x:c>
      <x:c r="E202" s="8"/>
      <x:c r="F202" s="8"/>
      <x:c r="G202" s="9"/>
      <x:c r="H202" s="9"/>
      <x:c r="I202" s="8"/>
      <x:c r="J202" s="8"/>
      <x:c r="K202" s="2" t="str">
        <x:f>IF(OR(E202="",F202="",G202="",H202="",I202="",J202=""),"",IF(E202="Harness blocked","BLOCKED",IF(AND(E202="Present",F202="Supplied"),1,IF(OR(E202="Missing",E202="Not reached"),0,"CHECK"))))</x:f>
      </x:c>
      <x:c r="L202" s="2" t="str">
        <x:f>IF(ISNUMBER(K202),IF(AND(K202=1,I202="No"),1,0),K202)</x:f>
      </x:c>
      <x:c r="M202" s="2" t="n">
        <x:f>IF(ISNUMBER(K202),1,0)</x:f>
        <x:v>0</x:v>
      </x:c>
    </x:row>
    <x:row r="203" ht="24" customHeight="1">
      <x:c r="A203" s="2" t="str">
        <x:v>S01.06</x:v>
      </x:c>
      <x:c r="B203" s="2" t="str">
        <x:v>S01</x:v>
      </x:c>
      <x:c r="C203" s="2" t="str">
        <x:v>gpt_clean</x:v>
      </x:c>
      <x:c r="D203" s="2" t="n">
        <x:v>3</x:v>
      </x:c>
      <x:c r="E203" s="8"/>
      <x:c r="F203" s="8"/>
      <x:c r="G203" s="9"/>
      <x:c r="H203" s="9"/>
      <x:c r="I203" s="8"/>
      <x:c r="J203" s="8"/>
      <x:c r="K203" s="2" t="str">
        <x:f>IF(OR(E203="",F203="",G203="",H203="",I203="",J203=""),"",IF(E203="Harness blocked","BLOCKED",IF(AND(E203="Present",F203="Supplied"),1,IF(OR(E203="Missing",E203="Not reached"),0,"CHECK"))))</x:f>
      </x:c>
      <x:c r="L203" s="2" t="str">
        <x:f>IF(ISNUMBER(K203),IF(AND(K203=1,I203="No"),1,0),K203)</x:f>
      </x:c>
      <x:c r="M203" s="2" t="n">
        <x:f>IF(ISNUMBER(K203),1,0)</x:f>
        <x:v>0</x:v>
      </x:c>
    </x:row>
    <x:row r="204" ht="24" customHeight="1">
      <x:c r="A204" s="2" t="str">
        <x:v>S01.07</x:v>
      </x:c>
      <x:c r="B204" s="2" t="str">
        <x:v>S01</x:v>
      </x:c>
      <x:c r="C204" s="2" t="str">
        <x:v>gpt_clean</x:v>
      </x:c>
      <x:c r="D204" s="2" t="n">
        <x:v>3</x:v>
      </x:c>
      <x:c r="E204" s="8"/>
      <x:c r="F204" s="8"/>
      <x:c r="G204" s="9"/>
      <x:c r="H204" s="9"/>
      <x:c r="I204" s="8"/>
      <x:c r="J204" s="8"/>
      <x:c r="K204" s="2" t="str">
        <x:f>IF(OR(E204="",F204="",G204="",H204="",I204="",J204=""),"",IF(E204="Harness blocked","BLOCKED",IF(AND(E204="Present",F204="Supplied"),1,IF(OR(E204="Missing",E204="Not reached"),0,"CHECK"))))</x:f>
      </x:c>
      <x:c r="L204" s="2" t="str">
        <x:f>IF(ISNUMBER(K204),IF(AND(K204=1,I204="No"),1,0),K204)</x:f>
      </x:c>
      <x:c r="M204" s="2" t="n">
        <x:f>IF(ISNUMBER(K204),1,0)</x:f>
        <x:v>0</x:v>
      </x:c>
    </x:row>
    <x:row r="205" ht="24" customHeight="1">
      <x:c r="A205" s="2" t="str">
        <x:v>S01.08</x:v>
      </x:c>
      <x:c r="B205" s="2" t="str">
        <x:v>S01</x:v>
      </x:c>
      <x:c r="C205" s="2" t="str">
        <x:v>gpt_clean</x:v>
      </x:c>
      <x:c r="D205" s="2" t="n">
        <x:v>3</x:v>
      </x:c>
      <x:c r="E205" s="8"/>
      <x:c r="F205" s="8"/>
      <x:c r="G205" s="9"/>
      <x:c r="H205" s="9"/>
      <x:c r="I205" s="8"/>
      <x:c r="J205" s="8"/>
      <x:c r="K205" s="2" t="str">
        <x:f>IF(OR(E205="",F205="",G205="",H205="",I205="",J205=""),"",IF(E205="Harness blocked","BLOCKED",IF(AND(E205="Present",F205="Supplied"),1,IF(OR(E205="Missing",E205="Not reached"),0,"CHECK"))))</x:f>
      </x:c>
      <x:c r="L205" s="2" t="str">
        <x:f>IF(ISNUMBER(K205),IF(AND(K205=1,I205="No"),1,0),K205)</x:f>
      </x:c>
      <x:c r="M205" s="2" t="n">
        <x:f>IF(ISNUMBER(K205),1,0)</x:f>
        <x:v>0</x:v>
      </x:c>
    </x:row>
    <x:row r="206" ht="24" customHeight="1">
      <x:c r="A206" s="2" t="str">
        <x:v>S02.01</x:v>
      </x:c>
      <x:c r="B206" s="2" t="str">
        <x:v>S02</x:v>
      </x:c>
      <x:c r="C206" s="2" t="str">
        <x:v>gpt_clean</x:v>
      </x:c>
      <x:c r="D206" s="2" t="n">
        <x:v>3</x:v>
      </x:c>
      <x:c r="E206" s="8"/>
      <x:c r="F206" s="8"/>
      <x:c r="G206" s="9"/>
      <x:c r="H206" s="9"/>
      <x:c r="I206" s="8"/>
      <x:c r="J206" s="8"/>
      <x:c r="K206" s="2" t="str">
        <x:f>IF(OR(E206="",F206="",G206="",H206="",I206="",J206=""),"",IF(E206="Harness blocked","BLOCKED",IF(AND(E206="Present",F206="Supplied"),1,IF(OR(E206="Missing",E206="Not reached"),0,"CHECK"))))</x:f>
      </x:c>
      <x:c r="L206" s="2" t="str">
        <x:f>IF(ISNUMBER(K206),IF(AND(K206=1,I206="No"),1,0),K206)</x:f>
      </x:c>
      <x:c r="M206" s="2" t="n">
        <x:f>IF(ISNUMBER(K206),1,0)</x:f>
        <x:v>0</x:v>
      </x:c>
    </x:row>
    <x:row r="207" ht="24" customHeight="1">
      <x:c r="A207" s="2" t="str">
        <x:v>S02.02</x:v>
      </x:c>
      <x:c r="B207" s="2" t="str">
        <x:v>S02</x:v>
      </x:c>
      <x:c r="C207" s="2" t="str">
        <x:v>gpt_clean</x:v>
      </x:c>
      <x:c r="D207" s="2" t="n">
        <x:v>3</x:v>
      </x:c>
      <x:c r="E207" s="8"/>
      <x:c r="F207" s="8"/>
      <x:c r="G207" s="9"/>
      <x:c r="H207" s="9"/>
      <x:c r="I207" s="8"/>
      <x:c r="J207" s="8"/>
      <x:c r="K207" s="2" t="str">
        <x:f>IF(OR(E207="",F207="",G207="",H207="",I207="",J207=""),"",IF(E207="Harness blocked","BLOCKED",IF(AND(E207="Present",F207="Supplied"),1,IF(OR(E207="Missing",E207="Not reached"),0,"CHECK"))))</x:f>
      </x:c>
      <x:c r="L207" s="2" t="str">
        <x:f>IF(ISNUMBER(K207),IF(AND(K207=1,I207="No"),1,0),K207)</x:f>
      </x:c>
      <x:c r="M207" s="2" t="n">
        <x:f>IF(ISNUMBER(K207),1,0)</x:f>
        <x:v>0</x:v>
      </x:c>
    </x:row>
    <x:row r="208" ht="24" customHeight="1">
      <x:c r="A208" s="2" t="str">
        <x:v>S02.03</x:v>
      </x:c>
      <x:c r="B208" s="2" t="str">
        <x:v>S02</x:v>
      </x:c>
      <x:c r="C208" s="2" t="str">
        <x:v>gpt_clean</x:v>
      </x:c>
      <x:c r="D208" s="2" t="n">
        <x:v>3</x:v>
      </x:c>
      <x:c r="E208" s="8"/>
      <x:c r="F208" s="8"/>
      <x:c r="G208" s="9"/>
      <x:c r="H208" s="9"/>
      <x:c r="I208" s="8"/>
      <x:c r="J208" s="8"/>
      <x:c r="K208" s="2" t="str">
        <x:f>IF(OR(E208="",F208="",G208="",H208="",I208="",J208=""),"",IF(E208="Harness blocked","BLOCKED",IF(AND(E208="Present",F208="Supplied"),1,IF(OR(E208="Missing",E208="Not reached"),0,"CHECK"))))</x:f>
      </x:c>
      <x:c r="L208" s="2" t="str">
        <x:f>IF(ISNUMBER(K208),IF(AND(K208=1,I208="No"),1,0),K208)</x:f>
      </x:c>
      <x:c r="M208" s="2" t="n">
        <x:f>IF(ISNUMBER(K208),1,0)</x:f>
        <x:v>0</x:v>
      </x:c>
    </x:row>
    <x:row r="209" ht="24" customHeight="1">
      <x:c r="A209" s="2" t="str">
        <x:v>S02.04</x:v>
      </x:c>
      <x:c r="B209" s="2" t="str">
        <x:v>S02</x:v>
      </x:c>
      <x:c r="C209" s="2" t="str">
        <x:v>gpt_clean</x:v>
      </x:c>
      <x:c r="D209" s="2" t="n">
        <x:v>3</x:v>
      </x:c>
      <x:c r="E209" s="8"/>
      <x:c r="F209" s="8"/>
      <x:c r="G209" s="9"/>
      <x:c r="H209" s="9"/>
      <x:c r="I209" s="8"/>
      <x:c r="J209" s="8"/>
      <x:c r="K209" s="2" t="str">
        <x:f>IF(OR(E209="",F209="",G209="",H209="",I209="",J209=""),"",IF(E209="Harness blocked","BLOCKED",IF(AND(E209="Present",F209="Supplied"),1,IF(OR(E209="Missing",E209="Not reached"),0,"CHECK"))))</x:f>
      </x:c>
      <x:c r="L209" s="2" t="str">
        <x:f>IF(ISNUMBER(K209),IF(AND(K209=1,I209="No"),1,0),K209)</x:f>
      </x:c>
      <x:c r="M209" s="2" t="n">
        <x:f>IF(ISNUMBER(K209),1,0)</x:f>
        <x:v>0</x:v>
      </x:c>
    </x:row>
    <x:row r="210" ht="24" customHeight="1">
      <x:c r="A210" s="2" t="str">
        <x:v>S02.05</x:v>
      </x:c>
      <x:c r="B210" s="2" t="str">
        <x:v>S02</x:v>
      </x:c>
      <x:c r="C210" s="2" t="str">
        <x:v>gpt_clean</x:v>
      </x:c>
      <x:c r="D210" s="2" t="n">
        <x:v>3</x:v>
      </x:c>
      <x:c r="E210" s="8"/>
      <x:c r="F210" s="8"/>
      <x:c r="G210" s="9"/>
      <x:c r="H210" s="9"/>
      <x:c r="I210" s="8"/>
      <x:c r="J210" s="8"/>
      <x:c r="K210" s="2" t="str">
        <x:f>IF(OR(E210="",F210="",G210="",H210="",I210="",J210=""),"",IF(E210="Harness blocked","BLOCKED",IF(AND(E210="Present",F210="Supplied"),1,IF(OR(E210="Missing",E210="Not reached"),0,"CHECK"))))</x:f>
      </x:c>
      <x:c r="L210" s="2" t="str">
        <x:f>IF(ISNUMBER(K210),IF(AND(K210=1,I210="No"),1,0),K210)</x:f>
      </x:c>
      <x:c r="M210" s="2" t="n">
        <x:f>IF(ISNUMBER(K210),1,0)</x:f>
        <x:v>0</x:v>
      </x:c>
    </x:row>
    <x:row r="211" ht="24" customHeight="1">
      <x:c r="A211" s="2" t="str">
        <x:v>S02.06</x:v>
      </x:c>
      <x:c r="B211" s="2" t="str">
        <x:v>S02</x:v>
      </x:c>
      <x:c r="C211" s="2" t="str">
        <x:v>gpt_clean</x:v>
      </x:c>
      <x:c r="D211" s="2" t="n">
        <x:v>3</x:v>
      </x:c>
      <x:c r="E211" s="8"/>
      <x:c r="F211" s="8"/>
      <x:c r="G211" s="9"/>
      <x:c r="H211" s="9"/>
      <x:c r="I211" s="8"/>
      <x:c r="J211" s="8"/>
      <x:c r="K211" s="2" t="str">
        <x:f>IF(OR(E211="",F211="",G211="",H211="",I211="",J211=""),"",IF(E211="Harness blocked","BLOCKED",IF(AND(E211="Present",F211="Supplied"),1,IF(OR(E211="Missing",E211="Not reached"),0,"CHECK"))))</x:f>
      </x:c>
      <x:c r="L211" s="2" t="str">
        <x:f>IF(ISNUMBER(K211),IF(AND(K211=1,I211="No"),1,0),K211)</x:f>
      </x:c>
      <x:c r="M211" s="2" t="n">
        <x:f>IF(ISNUMBER(K211),1,0)</x:f>
        <x:v>0</x:v>
      </x:c>
    </x:row>
    <x:row r="212" ht="24" customHeight="1">
      <x:c r="A212" s="2" t="str">
        <x:v>S02.07</x:v>
      </x:c>
      <x:c r="B212" s="2" t="str">
        <x:v>S02</x:v>
      </x:c>
      <x:c r="C212" s="2" t="str">
        <x:v>gpt_clean</x:v>
      </x:c>
      <x:c r="D212" s="2" t="n">
        <x:v>3</x:v>
      </x:c>
      <x:c r="E212" s="8"/>
      <x:c r="F212" s="8"/>
      <x:c r="G212" s="9"/>
      <x:c r="H212" s="9"/>
      <x:c r="I212" s="8"/>
      <x:c r="J212" s="8"/>
      <x:c r="K212" s="2" t="str">
        <x:f>IF(OR(E212="",F212="",G212="",H212="",I212="",J212=""),"",IF(E212="Harness blocked","BLOCKED",IF(AND(E212="Present",F212="Supplied"),1,IF(OR(E212="Missing",E212="Not reached"),0,"CHECK"))))</x:f>
      </x:c>
      <x:c r="L212" s="2" t="str">
        <x:f>IF(ISNUMBER(K212),IF(AND(K212=1,I212="No"),1,0),K212)</x:f>
      </x:c>
      <x:c r="M212" s="2" t="n">
        <x:f>IF(ISNUMBER(K212),1,0)</x:f>
        <x:v>0</x:v>
      </x:c>
    </x:row>
    <x:row r="213" ht="24" customHeight="1">
      <x:c r="A213" s="2" t="str">
        <x:v>S02.08</x:v>
      </x:c>
      <x:c r="B213" s="2" t="str">
        <x:v>S02</x:v>
      </x:c>
      <x:c r="C213" s="2" t="str">
        <x:v>gpt_clean</x:v>
      </x:c>
      <x:c r="D213" s="2" t="n">
        <x:v>3</x:v>
      </x:c>
      <x:c r="E213" s="8"/>
      <x:c r="F213" s="8"/>
      <x:c r="G213" s="9"/>
      <x:c r="H213" s="9"/>
      <x:c r="I213" s="8"/>
      <x:c r="J213" s="8"/>
      <x:c r="K213" s="2" t="str">
        <x:f>IF(OR(E213="",F213="",G213="",H213="",I213="",J213=""),"",IF(E213="Harness blocked","BLOCKED",IF(AND(E213="Present",F213="Supplied"),1,IF(OR(E213="Missing",E213="Not reached"),0,"CHECK"))))</x:f>
      </x:c>
      <x:c r="L213" s="2" t="str">
        <x:f>IF(ISNUMBER(K213),IF(AND(K213=1,I213="No"),1,0),K213)</x:f>
      </x:c>
      <x:c r="M213" s="2" t="n">
        <x:f>IF(ISNUMBER(K213),1,0)</x:f>
        <x:v>0</x:v>
      </x:c>
    </x:row>
    <x:row r="214" ht="24" customHeight="1">
      <x:c r="A214" s="2" t="str">
        <x:v>S03.01</x:v>
      </x:c>
      <x:c r="B214" s="2" t="str">
        <x:v>S03</x:v>
      </x:c>
      <x:c r="C214" s="2" t="str">
        <x:v>gpt_clean</x:v>
      </x:c>
      <x:c r="D214" s="2" t="n">
        <x:v>3</x:v>
      </x:c>
      <x:c r="E214" s="8"/>
      <x:c r="F214" s="8"/>
      <x:c r="G214" s="9"/>
      <x:c r="H214" s="9"/>
      <x:c r="I214" s="8"/>
      <x:c r="J214" s="8"/>
      <x:c r="K214" s="2" t="str">
        <x:f>IF(OR(E214="",F214="",G214="",H214="",I214="",J214=""),"",IF(E214="Harness blocked","BLOCKED",IF(AND(E214="Present",F214="Supplied"),1,IF(OR(E214="Missing",E214="Not reached"),0,"CHECK"))))</x:f>
      </x:c>
      <x:c r="L214" s="2" t="str">
        <x:f>IF(ISNUMBER(K214),IF(AND(K214=1,I214="No"),1,0),K214)</x:f>
      </x:c>
      <x:c r="M214" s="2" t="n">
        <x:f>IF(ISNUMBER(K214),1,0)</x:f>
        <x:v>0</x:v>
      </x:c>
    </x:row>
    <x:row r="215" ht="24" customHeight="1">
      <x:c r="A215" s="2" t="str">
        <x:v>S03.02</x:v>
      </x:c>
      <x:c r="B215" s="2" t="str">
        <x:v>S03</x:v>
      </x:c>
      <x:c r="C215" s="2" t="str">
        <x:v>gpt_clean</x:v>
      </x:c>
      <x:c r="D215" s="2" t="n">
        <x:v>3</x:v>
      </x:c>
      <x:c r="E215" s="8"/>
      <x:c r="F215" s="8"/>
      <x:c r="G215" s="9"/>
      <x:c r="H215" s="9"/>
      <x:c r="I215" s="8"/>
      <x:c r="J215" s="8"/>
      <x:c r="K215" s="2" t="str">
        <x:f>IF(OR(E215="",F215="",G215="",H215="",I215="",J215=""),"",IF(E215="Harness blocked","BLOCKED",IF(AND(E215="Present",F215="Supplied"),1,IF(OR(E215="Missing",E215="Not reached"),0,"CHECK"))))</x:f>
      </x:c>
      <x:c r="L215" s="2" t="str">
        <x:f>IF(ISNUMBER(K215),IF(AND(K215=1,I215="No"),1,0),K215)</x:f>
      </x:c>
      <x:c r="M215" s="2" t="n">
        <x:f>IF(ISNUMBER(K215),1,0)</x:f>
        <x:v>0</x:v>
      </x:c>
    </x:row>
    <x:row r="216" ht="24" customHeight="1">
      <x:c r="A216" s="2" t="str">
        <x:v>S03.03</x:v>
      </x:c>
      <x:c r="B216" s="2" t="str">
        <x:v>S03</x:v>
      </x:c>
      <x:c r="C216" s="2" t="str">
        <x:v>gpt_clean</x:v>
      </x:c>
      <x:c r="D216" s="2" t="n">
        <x:v>3</x:v>
      </x:c>
      <x:c r="E216" s="8"/>
      <x:c r="F216" s="8"/>
      <x:c r="G216" s="9"/>
      <x:c r="H216" s="9"/>
      <x:c r="I216" s="8"/>
      <x:c r="J216" s="8"/>
      <x:c r="K216" s="2" t="str">
        <x:f>IF(OR(E216="",F216="",G216="",H216="",I216="",J216=""),"",IF(E216="Harness blocked","BLOCKED",IF(AND(E216="Present",F216="Supplied"),1,IF(OR(E216="Missing",E216="Not reached"),0,"CHECK"))))</x:f>
      </x:c>
      <x:c r="L216" s="2" t="str">
        <x:f>IF(ISNUMBER(K216),IF(AND(K216=1,I216="No"),1,0),K216)</x:f>
      </x:c>
      <x:c r="M216" s="2" t="n">
        <x:f>IF(ISNUMBER(K216),1,0)</x:f>
        <x:v>0</x:v>
      </x:c>
    </x:row>
    <x:row r="217" ht="24" customHeight="1">
      <x:c r="A217" s="2" t="str">
        <x:v>S03.04</x:v>
      </x:c>
      <x:c r="B217" s="2" t="str">
        <x:v>S03</x:v>
      </x:c>
      <x:c r="C217" s="2" t="str">
        <x:v>gpt_clean</x:v>
      </x:c>
      <x:c r="D217" s="2" t="n">
        <x:v>3</x:v>
      </x:c>
      <x:c r="E217" s="8"/>
      <x:c r="F217" s="8"/>
      <x:c r="G217" s="9"/>
      <x:c r="H217" s="9"/>
      <x:c r="I217" s="8"/>
      <x:c r="J217" s="8"/>
      <x:c r="K217" s="2" t="str">
        <x:f>IF(OR(E217="",F217="",G217="",H217="",I217="",J217=""),"",IF(E217="Harness blocked","BLOCKED",IF(AND(E217="Present",F217="Supplied"),1,IF(OR(E217="Missing",E217="Not reached"),0,"CHECK"))))</x:f>
      </x:c>
      <x:c r="L217" s="2" t="str">
        <x:f>IF(ISNUMBER(K217),IF(AND(K217=1,I217="No"),1,0),K217)</x:f>
      </x:c>
      <x:c r="M217" s="2" t="n">
        <x:f>IF(ISNUMBER(K217),1,0)</x:f>
        <x:v>0</x:v>
      </x:c>
    </x:row>
    <x:row r="218" ht="24" customHeight="1">
      <x:c r="A218" s="2" t="str">
        <x:v>S03.05</x:v>
      </x:c>
      <x:c r="B218" s="2" t="str">
        <x:v>S03</x:v>
      </x:c>
      <x:c r="C218" s="2" t="str">
        <x:v>gpt_clean</x:v>
      </x:c>
      <x:c r="D218" s="2" t="n">
        <x:v>3</x:v>
      </x:c>
      <x:c r="E218" s="8"/>
      <x:c r="F218" s="8"/>
      <x:c r="G218" s="9"/>
      <x:c r="H218" s="9"/>
      <x:c r="I218" s="8"/>
      <x:c r="J218" s="8"/>
      <x:c r="K218" s="2" t="str">
        <x:f>IF(OR(E218="",F218="",G218="",H218="",I218="",J218=""),"",IF(E218="Harness blocked","BLOCKED",IF(AND(E218="Present",F218="Supplied"),1,IF(OR(E218="Missing",E218="Not reached"),0,"CHECK"))))</x:f>
      </x:c>
      <x:c r="L218" s="2" t="str">
        <x:f>IF(ISNUMBER(K218),IF(AND(K218=1,I218="No"),1,0),K218)</x:f>
      </x:c>
      <x:c r="M218" s="2" t="n">
        <x:f>IF(ISNUMBER(K218),1,0)</x:f>
        <x:v>0</x:v>
      </x:c>
    </x:row>
    <x:row r="219" ht="24" customHeight="1">
      <x:c r="A219" s="2" t="str">
        <x:v>S03.06</x:v>
      </x:c>
      <x:c r="B219" s="2" t="str">
        <x:v>S03</x:v>
      </x:c>
      <x:c r="C219" s="2" t="str">
        <x:v>gpt_clean</x:v>
      </x:c>
      <x:c r="D219" s="2" t="n">
        <x:v>3</x:v>
      </x:c>
      <x:c r="E219" s="8"/>
      <x:c r="F219" s="8"/>
      <x:c r="G219" s="9"/>
      <x:c r="H219" s="9"/>
      <x:c r="I219" s="8"/>
      <x:c r="J219" s="8"/>
      <x:c r="K219" s="2" t="str">
        <x:f>IF(OR(E219="",F219="",G219="",H219="",I219="",J219=""),"",IF(E219="Harness blocked","BLOCKED",IF(AND(E219="Present",F219="Supplied"),1,IF(OR(E219="Missing",E219="Not reached"),0,"CHECK"))))</x:f>
      </x:c>
      <x:c r="L219" s="2" t="str">
        <x:f>IF(ISNUMBER(K219),IF(AND(K219=1,I219="No"),1,0),K219)</x:f>
      </x:c>
      <x:c r="M219" s="2" t="n">
        <x:f>IF(ISNUMBER(K219),1,0)</x:f>
        <x:v>0</x:v>
      </x:c>
    </x:row>
    <x:row r="220" ht="24" customHeight="1">
      <x:c r="A220" s="2" t="str">
        <x:v>S03.07</x:v>
      </x:c>
      <x:c r="B220" s="2" t="str">
        <x:v>S03</x:v>
      </x:c>
      <x:c r="C220" s="2" t="str">
        <x:v>gpt_clean</x:v>
      </x:c>
      <x:c r="D220" s="2" t="n">
        <x:v>3</x:v>
      </x:c>
      <x:c r="E220" s="8"/>
      <x:c r="F220" s="8"/>
      <x:c r="G220" s="9"/>
      <x:c r="H220" s="9"/>
      <x:c r="I220" s="8"/>
      <x:c r="J220" s="8"/>
      <x:c r="K220" s="2" t="str">
        <x:f>IF(OR(E220="",F220="",G220="",H220="",I220="",J220=""),"",IF(E220="Harness blocked","BLOCKED",IF(AND(E220="Present",F220="Supplied"),1,IF(OR(E220="Missing",E220="Not reached"),0,"CHECK"))))</x:f>
      </x:c>
      <x:c r="L220" s="2" t="str">
        <x:f>IF(ISNUMBER(K220),IF(AND(K220=1,I220="No"),1,0),K220)</x:f>
      </x:c>
      <x:c r="M220" s="2" t="n">
        <x:f>IF(ISNUMBER(K220),1,0)</x:f>
        <x:v>0</x:v>
      </x:c>
    </x:row>
    <x:row r="221" ht="24" customHeight="1">
      <x:c r="A221" s="2" t="str">
        <x:v>S03.08</x:v>
      </x:c>
      <x:c r="B221" s="2" t="str">
        <x:v>S03</x:v>
      </x:c>
      <x:c r="C221" s="2" t="str">
        <x:v>gpt_clean</x:v>
      </x:c>
      <x:c r="D221" s="2" t="n">
        <x:v>3</x:v>
      </x:c>
      <x:c r="E221" s="8"/>
      <x:c r="F221" s="8"/>
      <x:c r="G221" s="9"/>
      <x:c r="H221" s="9"/>
      <x:c r="I221" s="8"/>
      <x:c r="J221" s="8"/>
      <x:c r="K221" s="2" t="str">
        <x:f>IF(OR(E221="",F221="",G221="",H221="",I221="",J221=""),"",IF(E221="Harness blocked","BLOCKED",IF(AND(E221="Present",F221="Supplied"),1,IF(OR(E221="Missing",E221="Not reached"),0,"CHECK"))))</x:f>
      </x:c>
      <x:c r="L221" s="2" t="str">
        <x:f>IF(ISNUMBER(K221),IF(AND(K221=1,I221="No"),1,0),K221)</x:f>
      </x:c>
      <x:c r="M221" s="2" t="n">
        <x:f>IF(ISNUMBER(K221),1,0)</x:f>
        <x:v>0</x:v>
      </x:c>
    </x:row>
    <x:row r="222" ht="24" customHeight="1">
      <x:c r="A222" s="2" t="str">
        <x:v>S04.01</x:v>
      </x:c>
      <x:c r="B222" s="2" t="str">
        <x:v>S04</x:v>
      </x:c>
      <x:c r="C222" s="2" t="str">
        <x:v>gpt_clean</x:v>
      </x:c>
      <x:c r="D222" s="2" t="n">
        <x:v>3</x:v>
      </x:c>
      <x:c r="E222" s="8"/>
      <x:c r="F222" s="8"/>
      <x:c r="G222" s="9"/>
      <x:c r="H222" s="9"/>
      <x:c r="I222" s="8"/>
      <x:c r="J222" s="8"/>
      <x:c r="K222" s="2" t="str">
        <x:f>IF(OR(E222="",F222="",G222="",H222="",I222="",J222=""),"",IF(E222="Harness blocked","BLOCKED",IF(AND(E222="Present",F222="Supplied"),1,IF(OR(E222="Missing",E222="Not reached"),0,"CHECK"))))</x:f>
      </x:c>
      <x:c r="L222" s="2" t="str">
        <x:f>IF(ISNUMBER(K222),IF(AND(K222=1,I222="No"),1,0),K222)</x:f>
      </x:c>
      <x:c r="M222" s="2" t="n">
        <x:f>IF(ISNUMBER(K222),1,0)</x:f>
        <x:v>0</x:v>
      </x:c>
    </x:row>
    <x:row r="223" ht="24" customHeight="1">
      <x:c r="A223" s="2" t="str">
        <x:v>S04.02</x:v>
      </x:c>
      <x:c r="B223" s="2" t="str">
        <x:v>S04</x:v>
      </x:c>
      <x:c r="C223" s="2" t="str">
        <x:v>gpt_clean</x:v>
      </x:c>
      <x:c r="D223" s="2" t="n">
        <x:v>3</x:v>
      </x:c>
      <x:c r="E223" s="8"/>
      <x:c r="F223" s="8"/>
      <x:c r="G223" s="9"/>
      <x:c r="H223" s="9"/>
      <x:c r="I223" s="8"/>
      <x:c r="J223" s="8"/>
      <x:c r="K223" s="2" t="str">
        <x:f>IF(OR(E223="",F223="",G223="",H223="",I223="",J223=""),"",IF(E223="Harness blocked","BLOCKED",IF(AND(E223="Present",F223="Supplied"),1,IF(OR(E223="Missing",E223="Not reached"),0,"CHECK"))))</x:f>
      </x:c>
      <x:c r="L223" s="2" t="str">
        <x:f>IF(ISNUMBER(K223),IF(AND(K223=1,I223="No"),1,0),K223)</x:f>
      </x:c>
      <x:c r="M223" s="2" t="n">
        <x:f>IF(ISNUMBER(K223),1,0)</x:f>
        <x:v>0</x:v>
      </x:c>
    </x:row>
    <x:row r="224" ht="24" customHeight="1">
      <x:c r="A224" s="2" t="str">
        <x:v>S04.03</x:v>
      </x:c>
      <x:c r="B224" s="2" t="str">
        <x:v>S04</x:v>
      </x:c>
      <x:c r="C224" s="2" t="str">
        <x:v>gpt_clean</x:v>
      </x:c>
      <x:c r="D224" s="2" t="n">
        <x:v>3</x:v>
      </x:c>
      <x:c r="E224" s="8"/>
      <x:c r="F224" s="8"/>
      <x:c r="G224" s="9"/>
      <x:c r="H224" s="9"/>
      <x:c r="I224" s="8"/>
      <x:c r="J224" s="8"/>
      <x:c r="K224" s="2" t="str">
        <x:f>IF(OR(E224="",F224="",G224="",H224="",I224="",J224=""),"",IF(E224="Harness blocked","BLOCKED",IF(AND(E224="Present",F224="Supplied"),1,IF(OR(E224="Missing",E224="Not reached"),0,"CHECK"))))</x:f>
      </x:c>
      <x:c r="L224" s="2" t="str">
        <x:f>IF(ISNUMBER(K224),IF(AND(K224=1,I224="No"),1,0),K224)</x:f>
      </x:c>
      <x:c r="M224" s="2" t="n">
        <x:f>IF(ISNUMBER(K224),1,0)</x:f>
        <x:v>0</x:v>
      </x:c>
    </x:row>
    <x:row r="225" ht="24" customHeight="1">
      <x:c r="A225" s="2" t="str">
        <x:v>S04.04</x:v>
      </x:c>
      <x:c r="B225" s="2" t="str">
        <x:v>S04</x:v>
      </x:c>
      <x:c r="C225" s="2" t="str">
        <x:v>gpt_clean</x:v>
      </x:c>
      <x:c r="D225" s="2" t="n">
        <x:v>3</x:v>
      </x:c>
      <x:c r="E225" s="8"/>
      <x:c r="F225" s="8"/>
      <x:c r="G225" s="9"/>
      <x:c r="H225" s="9"/>
      <x:c r="I225" s="8"/>
      <x:c r="J225" s="8"/>
      <x:c r="K225" s="2" t="str">
        <x:f>IF(OR(E225="",F225="",G225="",H225="",I225="",J225=""),"",IF(E225="Harness blocked","BLOCKED",IF(AND(E225="Present",F225="Supplied"),1,IF(OR(E225="Missing",E225="Not reached"),0,"CHECK"))))</x:f>
      </x:c>
      <x:c r="L225" s="2" t="str">
        <x:f>IF(ISNUMBER(K225),IF(AND(K225=1,I225="No"),1,0),K225)</x:f>
      </x:c>
      <x:c r="M225" s="2" t="n">
        <x:f>IF(ISNUMBER(K225),1,0)</x:f>
        <x:v>0</x:v>
      </x:c>
    </x:row>
    <x:row r="226" ht="24" customHeight="1">
      <x:c r="A226" s="2" t="str">
        <x:v>S04.05</x:v>
      </x:c>
      <x:c r="B226" s="2" t="str">
        <x:v>S04</x:v>
      </x:c>
      <x:c r="C226" s="2" t="str">
        <x:v>gpt_clean</x:v>
      </x:c>
      <x:c r="D226" s="2" t="n">
        <x:v>3</x:v>
      </x:c>
      <x:c r="E226" s="8"/>
      <x:c r="F226" s="8"/>
      <x:c r="G226" s="9"/>
      <x:c r="H226" s="9"/>
      <x:c r="I226" s="8"/>
      <x:c r="J226" s="8"/>
      <x:c r="K226" s="2" t="str">
        <x:f>IF(OR(E226="",F226="",G226="",H226="",I226="",J226=""),"",IF(E226="Harness blocked","BLOCKED",IF(AND(E226="Present",F226="Supplied"),1,IF(OR(E226="Missing",E226="Not reached"),0,"CHECK"))))</x:f>
      </x:c>
      <x:c r="L226" s="2" t="str">
        <x:f>IF(ISNUMBER(K226),IF(AND(K226=1,I226="No"),1,0),K226)</x:f>
      </x:c>
      <x:c r="M226" s="2" t="n">
        <x:f>IF(ISNUMBER(K226),1,0)</x:f>
        <x:v>0</x:v>
      </x:c>
    </x:row>
    <x:row r="227" ht="24" customHeight="1">
      <x:c r="A227" s="2" t="str">
        <x:v>S04.06</x:v>
      </x:c>
      <x:c r="B227" s="2" t="str">
        <x:v>S04</x:v>
      </x:c>
      <x:c r="C227" s="2" t="str">
        <x:v>gpt_clean</x:v>
      </x:c>
      <x:c r="D227" s="2" t="n">
        <x:v>3</x:v>
      </x:c>
      <x:c r="E227" s="8"/>
      <x:c r="F227" s="8"/>
      <x:c r="G227" s="9"/>
      <x:c r="H227" s="9"/>
      <x:c r="I227" s="8"/>
      <x:c r="J227" s="8"/>
      <x:c r="K227" s="2" t="str">
        <x:f>IF(OR(E227="",F227="",G227="",H227="",I227="",J227=""),"",IF(E227="Harness blocked","BLOCKED",IF(AND(E227="Present",F227="Supplied"),1,IF(OR(E227="Missing",E227="Not reached"),0,"CHECK"))))</x:f>
      </x:c>
      <x:c r="L227" s="2" t="str">
        <x:f>IF(ISNUMBER(K227),IF(AND(K227=1,I227="No"),1,0),K227)</x:f>
      </x:c>
      <x:c r="M227" s="2" t="n">
        <x:f>IF(ISNUMBER(K227),1,0)</x:f>
        <x:v>0</x:v>
      </x:c>
    </x:row>
    <x:row r="228" ht="24" customHeight="1">
      <x:c r="A228" s="2" t="str">
        <x:v>S04.07</x:v>
      </x:c>
      <x:c r="B228" s="2" t="str">
        <x:v>S04</x:v>
      </x:c>
      <x:c r="C228" s="2" t="str">
        <x:v>gpt_clean</x:v>
      </x:c>
      <x:c r="D228" s="2" t="n">
        <x:v>3</x:v>
      </x:c>
      <x:c r="E228" s="8"/>
      <x:c r="F228" s="8"/>
      <x:c r="G228" s="9"/>
      <x:c r="H228" s="9"/>
      <x:c r="I228" s="8"/>
      <x:c r="J228" s="8"/>
      <x:c r="K228" s="2" t="str">
        <x:f>IF(OR(E228="",F228="",G228="",H228="",I228="",J228=""),"",IF(E228="Harness blocked","BLOCKED",IF(AND(E228="Present",F228="Supplied"),1,IF(OR(E228="Missing",E228="Not reached"),0,"CHECK"))))</x:f>
      </x:c>
      <x:c r="L228" s="2" t="str">
        <x:f>IF(ISNUMBER(K228),IF(AND(K228=1,I228="No"),1,0),K228)</x:f>
      </x:c>
      <x:c r="M228" s="2" t="n">
        <x:f>IF(ISNUMBER(K228),1,0)</x:f>
        <x:v>0</x:v>
      </x:c>
    </x:row>
    <x:row r="229" ht="24" customHeight="1">
      <x:c r="A229" s="2" t="str">
        <x:v>S04.08</x:v>
      </x:c>
      <x:c r="B229" s="2" t="str">
        <x:v>S04</x:v>
      </x:c>
      <x:c r="C229" s="2" t="str">
        <x:v>gpt_clean</x:v>
      </x:c>
      <x:c r="D229" s="2" t="n">
        <x:v>3</x:v>
      </x:c>
      <x:c r="E229" s="8"/>
      <x:c r="F229" s="8"/>
      <x:c r="G229" s="9"/>
      <x:c r="H229" s="9"/>
      <x:c r="I229" s="8"/>
      <x:c r="J229" s="8"/>
      <x:c r="K229" s="2" t="str">
        <x:f>IF(OR(E229="",F229="",G229="",H229="",I229="",J229=""),"",IF(E229="Harness blocked","BLOCKED",IF(AND(E229="Present",F229="Supplied"),1,IF(OR(E229="Missing",E229="Not reached"),0,"CHECK"))))</x:f>
      </x:c>
      <x:c r="L229" s="2" t="str">
        <x:f>IF(ISNUMBER(K229),IF(AND(K229=1,I229="No"),1,0),K229)</x:f>
      </x:c>
      <x:c r="M229" s="2" t="n">
        <x:f>IF(ISNUMBER(K229),1,0)</x:f>
        <x:v>0</x:v>
      </x:c>
    </x:row>
    <x:row r="230" ht="24" customHeight="1">
      <x:c r="A230" s="2" t="str">
        <x:v>S05.01</x:v>
      </x:c>
      <x:c r="B230" s="2" t="str">
        <x:v>S05</x:v>
      </x:c>
      <x:c r="C230" s="2" t="str">
        <x:v>gpt_clean</x:v>
      </x:c>
      <x:c r="D230" s="2" t="n">
        <x:v>3</x:v>
      </x:c>
      <x:c r="E230" s="8"/>
      <x:c r="F230" s="8"/>
      <x:c r="G230" s="9"/>
      <x:c r="H230" s="9"/>
      <x:c r="I230" s="8"/>
      <x:c r="J230" s="8"/>
      <x:c r="K230" s="2" t="str">
        <x:f>IF(OR(E230="",F230="",G230="",H230="",I230="",J230=""),"",IF(E230="Harness blocked","BLOCKED",IF(AND(E230="Present",F230="Supplied"),1,IF(OR(E230="Missing",E230="Not reached"),0,"CHECK"))))</x:f>
      </x:c>
      <x:c r="L230" s="2" t="str">
        <x:f>IF(ISNUMBER(K230),IF(AND(K230=1,I230="No"),1,0),K230)</x:f>
      </x:c>
      <x:c r="M230" s="2" t="n">
        <x:f>IF(ISNUMBER(K230),1,0)</x:f>
        <x:v>0</x:v>
      </x:c>
    </x:row>
    <x:row r="231" ht="24" customHeight="1">
      <x:c r="A231" s="2" t="str">
        <x:v>S05.02</x:v>
      </x:c>
      <x:c r="B231" s="2" t="str">
        <x:v>S05</x:v>
      </x:c>
      <x:c r="C231" s="2" t="str">
        <x:v>gpt_clean</x:v>
      </x:c>
      <x:c r="D231" s="2" t="n">
        <x:v>3</x:v>
      </x:c>
      <x:c r="E231" s="8"/>
      <x:c r="F231" s="8"/>
      <x:c r="G231" s="9"/>
      <x:c r="H231" s="9"/>
      <x:c r="I231" s="8"/>
      <x:c r="J231" s="8"/>
      <x:c r="K231" s="2" t="str">
        <x:f>IF(OR(E231="",F231="",G231="",H231="",I231="",J231=""),"",IF(E231="Harness blocked","BLOCKED",IF(AND(E231="Present",F231="Supplied"),1,IF(OR(E231="Missing",E231="Not reached"),0,"CHECK"))))</x:f>
      </x:c>
      <x:c r="L231" s="2" t="str">
        <x:f>IF(ISNUMBER(K231),IF(AND(K231=1,I231="No"),1,0),K231)</x:f>
      </x:c>
      <x:c r="M231" s="2" t="n">
        <x:f>IF(ISNUMBER(K231),1,0)</x:f>
        <x:v>0</x:v>
      </x:c>
    </x:row>
    <x:row r="232" ht="24" customHeight="1">
      <x:c r="A232" s="2" t="str">
        <x:v>S05.03</x:v>
      </x:c>
      <x:c r="B232" s="2" t="str">
        <x:v>S05</x:v>
      </x:c>
      <x:c r="C232" s="2" t="str">
        <x:v>gpt_clean</x:v>
      </x:c>
      <x:c r="D232" s="2" t="n">
        <x:v>3</x:v>
      </x:c>
      <x:c r="E232" s="8"/>
      <x:c r="F232" s="8"/>
      <x:c r="G232" s="9"/>
      <x:c r="H232" s="9"/>
      <x:c r="I232" s="8"/>
      <x:c r="J232" s="8"/>
      <x:c r="K232" s="2" t="str">
        <x:f>IF(OR(E232="",F232="",G232="",H232="",I232="",J232=""),"",IF(E232="Harness blocked","BLOCKED",IF(AND(E232="Present",F232="Supplied"),1,IF(OR(E232="Missing",E232="Not reached"),0,"CHECK"))))</x:f>
      </x:c>
      <x:c r="L232" s="2" t="str">
        <x:f>IF(ISNUMBER(K232),IF(AND(K232=1,I232="No"),1,0),K232)</x:f>
      </x:c>
      <x:c r="M232" s="2" t="n">
        <x:f>IF(ISNUMBER(K232),1,0)</x:f>
        <x:v>0</x:v>
      </x:c>
    </x:row>
    <x:row r="233" ht="24" customHeight="1">
      <x:c r="A233" s="2" t="str">
        <x:v>S05.04</x:v>
      </x:c>
      <x:c r="B233" s="2" t="str">
        <x:v>S05</x:v>
      </x:c>
      <x:c r="C233" s="2" t="str">
        <x:v>gpt_clean</x:v>
      </x:c>
      <x:c r="D233" s="2" t="n">
        <x:v>3</x:v>
      </x:c>
      <x:c r="E233" s="8"/>
      <x:c r="F233" s="8"/>
      <x:c r="G233" s="9"/>
      <x:c r="H233" s="9"/>
      <x:c r="I233" s="8"/>
      <x:c r="J233" s="8"/>
      <x:c r="K233" s="2" t="str">
        <x:f>IF(OR(E233="",F233="",G233="",H233="",I233="",J233=""),"",IF(E233="Harness blocked","BLOCKED",IF(AND(E233="Present",F233="Supplied"),1,IF(OR(E233="Missing",E233="Not reached"),0,"CHECK"))))</x:f>
      </x:c>
      <x:c r="L233" s="2" t="str">
        <x:f>IF(ISNUMBER(K233),IF(AND(K233=1,I233="No"),1,0),K233)</x:f>
      </x:c>
      <x:c r="M233" s="2" t="n">
        <x:f>IF(ISNUMBER(K233),1,0)</x:f>
        <x:v>0</x:v>
      </x:c>
    </x:row>
    <x:row r="234" ht="24" customHeight="1">
      <x:c r="A234" s="2" t="str">
        <x:v>S05.05</x:v>
      </x:c>
      <x:c r="B234" s="2" t="str">
        <x:v>S05</x:v>
      </x:c>
      <x:c r="C234" s="2" t="str">
        <x:v>gpt_clean</x:v>
      </x:c>
      <x:c r="D234" s="2" t="n">
        <x:v>3</x:v>
      </x:c>
      <x:c r="E234" s="8"/>
      <x:c r="F234" s="8"/>
      <x:c r="G234" s="9"/>
      <x:c r="H234" s="9"/>
      <x:c r="I234" s="8"/>
      <x:c r="J234" s="8"/>
      <x:c r="K234" s="2" t="str">
        <x:f>IF(OR(E234="",F234="",G234="",H234="",I234="",J234=""),"",IF(E234="Harness blocked","BLOCKED",IF(AND(E234="Present",F234="Supplied"),1,IF(OR(E234="Missing",E234="Not reached"),0,"CHECK"))))</x:f>
      </x:c>
      <x:c r="L234" s="2" t="str">
        <x:f>IF(ISNUMBER(K234),IF(AND(K234=1,I234="No"),1,0),K234)</x:f>
      </x:c>
      <x:c r="M234" s="2" t="n">
        <x:f>IF(ISNUMBER(K234),1,0)</x:f>
        <x:v>0</x:v>
      </x:c>
    </x:row>
    <x:row r="235" ht="24" customHeight="1">
      <x:c r="A235" s="2" t="str">
        <x:v>S05.06</x:v>
      </x:c>
      <x:c r="B235" s="2" t="str">
        <x:v>S05</x:v>
      </x:c>
      <x:c r="C235" s="2" t="str">
        <x:v>gpt_clean</x:v>
      </x:c>
      <x:c r="D235" s="2" t="n">
        <x:v>3</x:v>
      </x:c>
      <x:c r="E235" s="8"/>
      <x:c r="F235" s="8"/>
      <x:c r="G235" s="9"/>
      <x:c r="H235" s="9"/>
      <x:c r="I235" s="8"/>
      <x:c r="J235" s="8"/>
      <x:c r="K235" s="2" t="str">
        <x:f>IF(OR(E235="",F235="",G235="",H235="",I235="",J235=""),"",IF(E235="Harness blocked","BLOCKED",IF(AND(E235="Present",F235="Supplied"),1,IF(OR(E235="Missing",E235="Not reached"),0,"CHECK"))))</x:f>
      </x:c>
      <x:c r="L235" s="2" t="str">
        <x:f>IF(ISNUMBER(K235),IF(AND(K235=1,I235="No"),1,0),K235)</x:f>
      </x:c>
      <x:c r="M235" s="2" t="n">
        <x:f>IF(ISNUMBER(K235),1,0)</x:f>
        <x:v>0</x:v>
      </x:c>
    </x:row>
    <x:row r="236" ht="24" customHeight="1">
      <x:c r="A236" s="2" t="str">
        <x:v>S05.07</x:v>
      </x:c>
      <x:c r="B236" s="2" t="str">
        <x:v>S05</x:v>
      </x:c>
      <x:c r="C236" s="2" t="str">
        <x:v>gpt_clean</x:v>
      </x:c>
      <x:c r="D236" s="2" t="n">
        <x:v>3</x:v>
      </x:c>
      <x:c r="E236" s="8"/>
      <x:c r="F236" s="8"/>
      <x:c r="G236" s="9"/>
      <x:c r="H236" s="9"/>
      <x:c r="I236" s="8"/>
      <x:c r="J236" s="8"/>
      <x:c r="K236" s="2" t="str">
        <x:f>IF(OR(E236="",F236="",G236="",H236="",I236="",J236=""),"",IF(E236="Harness blocked","BLOCKED",IF(AND(E236="Present",F236="Supplied"),1,IF(OR(E236="Missing",E236="Not reached"),0,"CHECK"))))</x:f>
      </x:c>
      <x:c r="L236" s="2" t="str">
        <x:f>IF(ISNUMBER(K236),IF(AND(K236=1,I236="No"),1,0),K236)</x:f>
      </x:c>
      <x:c r="M236" s="2" t="n">
        <x:f>IF(ISNUMBER(K236),1,0)</x:f>
        <x:v>0</x:v>
      </x:c>
    </x:row>
    <x:row r="237" ht="24" customHeight="1">
      <x:c r="A237" s="2" t="str">
        <x:v>S05.08</x:v>
      </x:c>
      <x:c r="B237" s="2" t="str">
        <x:v>S05</x:v>
      </x:c>
      <x:c r="C237" s="2" t="str">
        <x:v>gpt_clean</x:v>
      </x:c>
      <x:c r="D237" s="2" t="n">
        <x:v>3</x:v>
      </x:c>
      <x:c r="E237" s="8"/>
      <x:c r="F237" s="8"/>
      <x:c r="G237" s="9"/>
      <x:c r="H237" s="9"/>
      <x:c r="I237" s="8"/>
      <x:c r="J237" s="8"/>
      <x:c r="K237" s="2" t="str">
        <x:f>IF(OR(E237="",F237="",G237="",H237="",I237="",J237=""),"",IF(E237="Harness blocked","BLOCKED",IF(AND(E237="Present",F237="Supplied"),1,IF(OR(E237="Missing",E237="Not reached"),0,"CHECK"))))</x:f>
      </x:c>
      <x:c r="L237" s="2" t="str">
        <x:f>IF(ISNUMBER(K237),IF(AND(K237=1,I237="No"),1,0),K237)</x:f>
      </x:c>
      <x:c r="M237" s="2" t="n">
        <x:f>IF(ISNUMBER(K237),1,0)</x:f>
        <x:v>0</x:v>
      </x:c>
    </x:row>
    <x:row r="238" ht="24" customHeight="1">
      <x:c r="A238" s="2" t="str">
        <x:v>S06.01</x:v>
      </x:c>
      <x:c r="B238" s="2" t="str">
        <x:v>S06</x:v>
      </x:c>
      <x:c r="C238" s="2" t="str">
        <x:v>gpt_clean</x:v>
      </x:c>
      <x:c r="D238" s="2" t="n">
        <x:v>3</x:v>
      </x:c>
      <x:c r="E238" s="8"/>
      <x:c r="F238" s="8"/>
      <x:c r="G238" s="9"/>
      <x:c r="H238" s="9"/>
      <x:c r="I238" s="8"/>
      <x:c r="J238" s="8"/>
      <x:c r="K238" s="2" t="str">
        <x:f>IF(OR(E238="",F238="",G238="",H238="",I238="",J238=""),"",IF(E238="Harness blocked","BLOCKED",IF(AND(E238="Present",F238="Supplied"),1,IF(OR(E238="Missing",E238="Not reached"),0,"CHECK"))))</x:f>
      </x:c>
      <x:c r="L238" s="2" t="str">
        <x:f>IF(ISNUMBER(K238),IF(AND(K238=1,I238="No"),1,0),K238)</x:f>
      </x:c>
      <x:c r="M238" s="2" t="n">
        <x:f>IF(ISNUMBER(K238),1,0)</x:f>
        <x:v>0</x:v>
      </x:c>
    </x:row>
    <x:row r="239" ht="24" customHeight="1">
      <x:c r="A239" s="2" t="str">
        <x:v>S06.02</x:v>
      </x:c>
      <x:c r="B239" s="2" t="str">
        <x:v>S06</x:v>
      </x:c>
      <x:c r="C239" s="2" t="str">
        <x:v>gpt_clean</x:v>
      </x:c>
      <x:c r="D239" s="2" t="n">
        <x:v>3</x:v>
      </x:c>
      <x:c r="E239" s="8"/>
      <x:c r="F239" s="8"/>
      <x:c r="G239" s="9"/>
      <x:c r="H239" s="9"/>
      <x:c r="I239" s="8"/>
      <x:c r="J239" s="8"/>
      <x:c r="K239" s="2" t="str">
        <x:f>IF(OR(E239="",F239="",G239="",H239="",I239="",J239=""),"",IF(E239="Harness blocked","BLOCKED",IF(AND(E239="Present",F239="Supplied"),1,IF(OR(E239="Missing",E239="Not reached"),0,"CHECK"))))</x:f>
      </x:c>
      <x:c r="L239" s="2" t="str">
        <x:f>IF(ISNUMBER(K239),IF(AND(K239=1,I239="No"),1,0),K239)</x:f>
      </x:c>
      <x:c r="M239" s="2" t="n">
        <x:f>IF(ISNUMBER(K239),1,0)</x:f>
        <x:v>0</x:v>
      </x:c>
    </x:row>
    <x:row r="240" ht="24" customHeight="1">
      <x:c r="A240" s="2" t="str">
        <x:v>S06.03</x:v>
      </x:c>
      <x:c r="B240" s="2" t="str">
        <x:v>S06</x:v>
      </x:c>
      <x:c r="C240" s="2" t="str">
        <x:v>gpt_clean</x:v>
      </x:c>
      <x:c r="D240" s="2" t="n">
        <x:v>3</x:v>
      </x:c>
      <x:c r="E240" s="8"/>
      <x:c r="F240" s="8"/>
      <x:c r="G240" s="9"/>
      <x:c r="H240" s="9"/>
      <x:c r="I240" s="8"/>
      <x:c r="J240" s="8"/>
      <x:c r="K240" s="2" t="str">
        <x:f>IF(OR(E240="",F240="",G240="",H240="",I240="",J240=""),"",IF(E240="Harness blocked","BLOCKED",IF(AND(E240="Present",F240="Supplied"),1,IF(OR(E240="Missing",E240="Not reached"),0,"CHECK"))))</x:f>
      </x:c>
      <x:c r="L240" s="2" t="str">
        <x:f>IF(ISNUMBER(K240),IF(AND(K240=1,I240="No"),1,0),K240)</x:f>
      </x:c>
      <x:c r="M240" s="2" t="n">
        <x:f>IF(ISNUMBER(K240),1,0)</x:f>
        <x:v>0</x:v>
      </x:c>
    </x:row>
    <x:row r="241" ht="24" customHeight="1">
      <x:c r="A241" s="2" t="str">
        <x:v>S06.04</x:v>
      </x:c>
      <x:c r="B241" s="2" t="str">
        <x:v>S06</x:v>
      </x:c>
      <x:c r="C241" s="2" t="str">
        <x:v>gpt_clean</x:v>
      </x:c>
      <x:c r="D241" s="2" t="n">
        <x:v>3</x:v>
      </x:c>
      <x:c r="E241" s="8"/>
      <x:c r="F241" s="8"/>
      <x:c r="G241" s="9"/>
      <x:c r="H241" s="9"/>
      <x:c r="I241" s="8"/>
      <x:c r="J241" s="8"/>
      <x:c r="K241" s="2" t="str">
        <x:f>IF(OR(E241="",F241="",G241="",H241="",I241="",J241=""),"",IF(E241="Harness blocked","BLOCKED",IF(AND(E241="Present",F241="Supplied"),1,IF(OR(E241="Missing",E241="Not reached"),0,"CHECK"))))</x:f>
      </x:c>
      <x:c r="L241" s="2" t="str">
        <x:f>IF(ISNUMBER(K241),IF(AND(K241=1,I241="No"),1,0),K241)</x:f>
      </x:c>
      <x:c r="M241" s="2" t="n">
        <x:f>IF(ISNUMBER(K241),1,0)</x:f>
        <x:v>0</x:v>
      </x:c>
    </x:row>
    <x:row r="242" ht="24" customHeight="1">
      <x:c r="A242" s="2" t="str">
        <x:v>S06.05</x:v>
      </x:c>
      <x:c r="B242" s="2" t="str">
        <x:v>S06</x:v>
      </x:c>
      <x:c r="C242" s="2" t="str">
        <x:v>gpt_clean</x:v>
      </x:c>
      <x:c r="D242" s="2" t="n">
        <x:v>3</x:v>
      </x:c>
      <x:c r="E242" s="8"/>
      <x:c r="F242" s="8"/>
      <x:c r="G242" s="9"/>
      <x:c r="H242" s="9"/>
      <x:c r="I242" s="8"/>
      <x:c r="J242" s="8"/>
      <x:c r="K242" s="2" t="str">
        <x:f>IF(OR(E242="",F242="",G242="",H242="",I242="",J242=""),"",IF(E242="Harness blocked","BLOCKED",IF(AND(E242="Present",F242="Supplied"),1,IF(OR(E242="Missing",E242="Not reached"),0,"CHECK"))))</x:f>
      </x:c>
      <x:c r="L242" s="2" t="str">
        <x:f>IF(ISNUMBER(K242),IF(AND(K242=1,I242="No"),1,0),K242)</x:f>
      </x:c>
      <x:c r="M242" s="2" t="n">
        <x:f>IF(ISNUMBER(K242),1,0)</x:f>
        <x:v>0</x:v>
      </x:c>
    </x:row>
    <x:row r="243" ht="24" customHeight="1">
      <x:c r="A243" s="2" t="str">
        <x:v>S06.06</x:v>
      </x:c>
      <x:c r="B243" s="2" t="str">
        <x:v>S06</x:v>
      </x:c>
      <x:c r="C243" s="2" t="str">
        <x:v>gpt_clean</x:v>
      </x:c>
      <x:c r="D243" s="2" t="n">
        <x:v>3</x:v>
      </x:c>
      <x:c r="E243" s="8"/>
      <x:c r="F243" s="8"/>
      <x:c r="G243" s="9"/>
      <x:c r="H243" s="9"/>
      <x:c r="I243" s="8"/>
      <x:c r="J243" s="8"/>
      <x:c r="K243" s="2" t="str">
        <x:f>IF(OR(E243="",F243="",G243="",H243="",I243="",J243=""),"",IF(E243="Harness blocked","BLOCKED",IF(AND(E243="Present",F243="Supplied"),1,IF(OR(E243="Missing",E243="Not reached"),0,"CHECK"))))</x:f>
      </x:c>
      <x:c r="L243" s="2" t="str">
        <x:f>IF(ISNUMBER(K243),IF(AND(K243=1,I243="No"),1,0),K243)</x:f>
      </x:c>
      <x:c r="M243" s="2" t="n">
        <x:f>IF(ISNUMBER(K243),1,0)</x:f>
        <x:v>0</x:v>
      </x:c>
    </x:row>
    <x:row r="244" ht="24" customHeight="1">
      <x:c r="A244" s="2" t="str">
        <x:v>S06.07</x:v>
      </x:c>
      <x:c r="B244" s="2" t="str">
        <x:v>S06</x:v>
      </x:c>
      <x:c r="C244" s="2" t="str">
        <x:v>gpt_clean</x:v>
      </x:c>
      <x:c r="D244" s="2" t="n">
        <x:v>3</x:v>
      </x:c>
      <x:c r="E244" s="8"/>
      <x:c r="F244" s="8"/>
      <x:c r="G244" s="9"/>
      <x:c r="H244" s="9"/>
      <x:c r="I244" s="8"/>
      <x:c r="J244" s="8"/>
      <x:c r="K244" s="2" t="str">
        <x:f>IF(OR(E244="",F244="",G244="",H244="",I244="",J244=""),"",IF(E244="Harness blocked","BLOCKED",IF(AND(E244="Present",F244="Supplied"),1,IF(OR(E244="Missing",E244="Not reached"),0,"CHECK"))))</x:f>
      </x:c>
      <x:c r="L244" s="2" t="str">
        <x:f>IF(ISNUMBER(K244),IF(AND(K244=1,I244="No"),1,0),K244)</x:f>
      </x:c>
      <x:c r="M244" s="2" t="n">
        <x:f>IF(ISNUMBER(K244),1,0)</x:f>
        <x:v>0</x:v>
      </x:c>
    </x:row>
    <x:row r="245" ht="24" customHeight="1">
      <x:c r="A245" s="2" t="str">
        <x:v>S06.08</x:v>
      </x:c>
      <x:c r="B245" s="2" t="str">
        <x:v>S06</x:v>
      </x:c>
      <x:c r="C245" s="2" t="str">
        <x:v>gpt_clean</x:v>
      </x:c>
      <x:c r="D245" s="2" t="n">
        <x:v>3</x:v>
      </x:c>
      <x:c r="E245" s="8"/>
      <x:c r="F245" s="8"/>
      <x:c r="G245" s="9"/>
      <x:c r="H245" s="9"/>
      <x:c r="I245" s="8"/>
      <x:c r="J245" s="8"/>
      <x:c r="K245" s="2" t="str">
        <x:f>IF(OR(E245="",F245="",G245="",H245="",I245="",J245=""),"",IF(E245="Harness blocked","BLOCKED",IF(AND(E245="Present",F245="Supplied"),1,IF(OR(E245="Missing",E245="Not reached"),0,"CHECK"))))</x:f>
      </x:c>
      <x:c r="L245" s="2" t="str">
        <x:f>IF(ISNUMBER(K245),IF(AND(K245=1,I245="No"),1,0),K245)</x:f>
      </x:c>
      <x:c r="M245" s="2" t="n">
        <x:f>IF(ISNUMBER(K245),1,0)</x:f>
        <x:v>0</x:v>
      </x:c>
    </x:row>
    <x:row r="246" ht="24" customHeight="1">
      <x:c r="A246" s="2" t="str">
        <x:v>S07.01</x:v>
      </x:c>
      <x:c r="B246" s="2" t="str">
        <x:v>S07</x:v>
      </x:c>
      <x:c r="C246" s="2" t="str">
        <x:v>gpt_clean</x:v>
      </x:c>
      <x:c r="D246" s="2" t="n">
        <x:v>3</x:v>
      </x:c>
      <x:c r="E246" s="8"/>
      <x:c r="F246" s="8"/>
      <x:c r="G246" s="9"/>
      <x:c r="H246" s="9"/>
      <x:c r="I246" s="8"/>
      <x:c r="J246" s="8"/>
      <x:c r="K246" s="2" t="str">
        <x:f>IF(OR(E246="",F246="",G246="",H246="",I246="",J246=""),"",IF(E246="Harness blocked","BLOCKED",IF(AND(E246="Present",F246="Supplied"),1,IF(OR(E246="Missing",E246="Not reached"),0,"CHECK"))))</x:f>
      </x:c>
      <x:c r="L246" s="2" t="str">
        <x:f>IF(ISNUMBER(K246),IF(AND(K246=1,I246="No"),1,0),K246)</x:f>
      </x:c>
      <x:c r="M246" s="2" t="n">
        <x:f>IF(ISNUMBER(K246),1,0)</x:f>
        <x:v>0</x:v>
      </x:c>
    </x:row>
    <x:row r="247" ht="24" customHeight="1">
      <x:c r="A247" s="2" t="str">
        <x:v>S07.02</x:v>
      </x:c>
      <x:c r="B247" s="2" t="str">
        <x:v>S07</x:v>
      </x:c>
      <x:c r="C247" s="2" t="str">
        <x:v>gpt_clean</x:v>
      </x:c>
      <x:c r="D247" s="2" t="n">
        <x:v>3</x:v>
      </x:c>
      <x:c r="E247" s="8"/>
      <x:c r="F247" s="8"/>
      <x:c r="G247" s="9"/>
      <x:c r="H247" s="9"/>
      <x:c r="I247" s="8"/>
      <x:c r="J247" s="8"/>
      <x:c r="K247" s="2" t="str">
        <x:f>IF(OR(E247="",F247="",G247="",H247="",I247="",J247=""),"",IF(E247="Harness blocked","BLOCKED",IF(AND(E247="Present",F247="Supplied"),1,IF(OR(E247="Missing",E247="Not reached"),0,"CHECK"))))</x:f>
      </x:c>
      <x:c r="L247" s="2" t="str">
        <x:f>IF(ISNUMBER(K247),IF(AND(K247=1,I247="No"),1,0),K247)</x:f>
      </x:c>
      <x:c r="M247" s="2" t="n">
        <x:f>IF(ISNUMBER(K247),1,0)</x:f>
        <x:v>0</x:v>
      </x:c>
    </x:row>
    <x:row r="248" ht="24" customHeight="1">
      <x:c r="A248" s="2" t="str">
        <x:v>S07.03</x:v>
      </x:c>
      <x:c r="B248" s="2" t="str">
        <x:v>S07</x:v>
      </x:c>
      <x:c r="C248" s="2" t="str">
        <x:v>gpt_clean</x:v>
      </x:c>
      <x:c r="D248" s="2" t="n">
        <x:v>3</x:v>
      </x:c>
      <x:c r="E248" s="8"/>
      <x:c r="F248" s="8"/>
      <x:c r="G248" s="9"/>
      <x:c r="H248" s="9"/>
      <x:c r="I248" s="8"/>
      <x:c r="J248" s="8"/>
      <x:c r="K248" s="2" t="str">
        <x:f>IF(OR(E248="",F248="",G248="",H248="",I248="",J248=""),"",IF(E248="Harness blocked","BLOCKED",IF(AND(E248="Present",F248="Supplied"),1,IF(OR(E248="Missing",E248="Not reached"),0,"CHECK"))))</x:f>
      </x:c>
      <x:c r="L248" s="2" t="str">
        <x:f>IF(ISNUMBER(K248),IF(AND(K248=1,I248="No"),1,0),K248)</x:f>
      </x:c>
      <x:c r="M248" s="2" t="n">
        <x:f>IF(ISNUMBER(K248),1,0)</x:f>
        <x:v>0</x:v>
      </x:c>
    </x:row>
    <x:row r="249" ht="24" customHeight="1">
      <x:c r="A249" s="2" t="str">
        <x:v>S07.04</x:v>
      </x:c>
      <x:c r="B249" s="2" t="str">
        <x:v>S07</x:v>
      </x:c>
      <x:c r="C249" s="2" t="str">
        <x:v>gpt_clean</x:v>
      </x:c>
      <x:c r="D249" s="2" t="n">
        <x:v>3</x:v>
      </x:c>
      <x:c r="E249" s="8"/>
      <x:c r="F249" s="8"/>
      <x:c r="G249" s="9"/>
      <x:c r="H249" s="9"/>
      <x:c r="I249" s="8"/>
      <x:c r="J249" s="8"/>
      <x:c r="K249" s="2" t="str">
        <x:f>IF(OR(E249="",F249="",G249="",H249="",I249="",J249=""),"",IF(E249="Harness blocked","BLOCKED",IF(AND(E249="Present",F249="Supplied"),1,IF(OR(E249="Missing",E249="Not reached"),0,"CHECK"))))</x:f>
      </x:c>
      <x:c r="L249" s="2" t="str">
        <x:f>IF(ISNUMBER(K249),IF(AND(K249=1,I249="No"),1,0),K249)</x:f>
      </x:c>
      <x:c r="M249" s="2" t="n">
        <x:f>IF(ISNUMBER(K249),1,0)</x:f>
        <x:v>0</x:v>
      </x:c>
    </x:row>
    <x:row r="250" ht="24" customHeight="1">
      <x:c r="A250" s="2" t="str">
        <x:v>S07.05</x:v>
      </x:c>
      <x:c r="B250" s="2" t="str">
        <x:v>S07</x:v>
      </x:c>
      <x:c r="C250" s="2" t="str">
        <x:v>gpt_clean</x:v>
      </x:c>
      <x:c r="D250" s="2" t="n">
        <x:v>3</x:v>
      </x:c>
      <x:c r="E250" s="8"/>
      <x:c r="F250" s="8"/>
      <x:c r="G250" s="9"/>
      <x:c r="H250" s="9"/>
      <x:c r="I250" s="8"/>
      <x:c r="J250" s="8"/>
      <x:c r="K250" s="2" t="str">
        <x:f>IF(OR(E250="",F250="",G250="",H250="",I250="",J250=""),"",IF(E250="Harness blocked","BLOCKED",IF(AND(E250="Present",F250="Supplied"),1,IF(OR(E250="Missing",E250="Not reached"),0,"CHECK"))))</x:f>
      </x:c>
      <x:c r="L250" s="2" t="str">
        <x:f>IF(ISNUMBER(K250),IF(AND(K250=1,I250="No"),1,0),K250)</x:f>
      </x:c>
      <x:c r="M250" s="2" t="n">
        <x:f>IF(ISNUMBER(K250),1,0)</x:f>
        <x:v>0</x:v>
      </x:c>
    </x:row>
    <x:row r="251" ht="24" customHeight="1">
      <x:c r="A251" s="2" t="str">
        <x:v>S07.06</x:v>
      </x:c>
      <x:c r="B251" s="2" t="str">
        <x:v>S07</x:v>
      </x:c>
      <x:c r="C251" s="2" t="str">
        <x:v>gpt_clean</x:v>
      </x:c>
      <x:c r="D251" s="2" t="n">
        <x:v>3</x:v>
      </x:c>
      <x:c r="E251" s="8"/>
      <x:c r="F251" s="8"/>
      <x:c r="G251" s="9"/>
      <x:c r="H251" s="9"/>
      <x:c r="I251" s="8"/>
      <x:c r="J251" s="8"/>
      <x:c r="K251" s="2" t="str">
        <x:f>IF(OR(E251="",F251="",G251="",H251="",I251="",J251=""),"",IF(E251="Harness blocked","BLOCKED",IF(AND(E251="Present",F251="Supplied"),1,IF(OR(E251="Missing",E251="Not reached"),0,"CHECK"))))</x:f>
      </x:c>
      <x:c r="L251" s="2" t="str">
        <x:f>IF(ISNUMBER(K251),IF(AND(K251=1,I251="No"),1,0),K251)</x:f>
      </x:c>
      <x:c r="M251" s="2" t="n">
        <x:f>IF(ISNUMBER(K251),1,0)</x:f>
        <x:v>0</x:v>
      </x:c>
    </x:row>
    <x:row r="252" ht="24" customHeight="1">
      <x:c r="A252" s="2" t="str">
        <x:v>S07.07</x:v>
      </x:c>
      <x:c r="B252" s="2" t="str">
        <x:v>S07</x:v>
      </x:c>
      <x:c r="C252" s="2" t="str">
        <x:v>gpt_clean</x:v>
      </x:c>
      <x:c r="D252" s="2" t="n">
        <x:v>3</x:v>
      </x:c>
      <x:c r="E252" s="8"/>
      <x:c r="F252" s="8"/>
      <x:c r="G252" s="9"/>
      <x:c r="H252" s="9"/>
      <x:c r="I252" s="8"/>
      <x:c r="J252" s="8"/>
      <x:c r="K252" s="2" t="str">
        <x:f>IF(OR(E252="",F252="",G252="",H252="",I252="",J252=""),"",IF(E252="Harness blocked","BLOCKED",IF(AND(E252="Present",F252="Supplied"),1,IF(OR(E252="Missing",E252="Not reached"),0,"CHECK"))))</x:f>
      </x:c>
      <x:c r="L252" s="2" t="str">
        <x:f>IF(ISNUMBER(K252),IF(AND(K252=1,I252="No"),1,0),K252)</x:f>
      </x:c>
      <x:c r="M252" s="2" t="n">
        <x:f>IF(ISNUMBER(K252),1,0)</x:f>
        <x:v>0</x:v>
      </x:c>
    </x:row>
    <x:row r="253" ht="24" customHeight="1">
      <x:c r="A253" s="2" t="str">
        <x:v>S07.08</x:v>
      </x:c>
      <x:c r="B253" s="2" t="str">
        <x:v>S07</x:v>
      </x:c>
      <x:c r="C253" s="2" t="str">
        <x:v>gpt_clean</x:v>
      </x:c>
      <x:c r="D253" s="2" t="n">
        <x:v>3</x:v>
      </x:c>
      <x:c r="E253" s="8"/>
      <x:c r="F253" s="8"/>
      <x:c r="G253" s="9"/>
      <x:c r="H253" s="9"/>
      <x:c r="I253" s="8"/>
      <x:c r="J253" s="8"/>
      <x:c r="K253" s="2" t="str">
        <x:f>IF(OR(E253="",F253="",G253="",H253="",I253="",J253=""),"",IF(E253="Harness blocked","BLOCKED",IF(AND(E253="Present",F253="Supplied"),1,IF(OR(E253="Missing",E253="Not reached"),0,"CHECK"))))</x:f>
      </x:c>
      <x:c r="L253" s="2" t="str">
        <x:f>IF(ISNUMBER(K253),IF(AND(K253=1,I253="No"),1,0),K253)</x:f>
      </x:c>
      <x:c r="M253" s="2" t="n">
        <x:f>IF(ISNUMBER(K253),1,0)</x:f>
        <x:v>0</x:v>
      </x:c>
    </x:row>
    <x:row r="254" ht="24" customHeight="1">
      <x:c r="A254" s="2" t="str">
        <x:v>S08.01</x:v>
      </x:c>
      <x:c r="B254" s="2" t="str">
        <x:v>S08</x:v>
      </x:c>
      <x:c r="C254" s="2" t="str">
        <x:v>gpt_clean</x:v>
      </x:c>
      <x:c r="D254" s="2" t="n">
        <x:v>3</x:v>
      </x:c>
      <x:c r="E254" s="8"/>
      <x:c r="F254" s="8"/>
      <x:c r="G254" s="9"/>
      <x:c r="H254" s="9"/>
      <x:c r="I254" s="8"/>
      <x:c r="J254" s="8"/>
      <x:c r="K254" s="2" t="str">
        <x:f>IF(OR(E254="",F254="",G254="",H254="",I254="",J254=""),"",IF(E254="Harness blocked","BLOCKED",IF(AND(E254="Present",F254="Supplied"),1,IF(OR(E254="Missing",E254="Not reached"),0,"CHECK"))))</x:f>
      </x:c>
      <x:c r="L254" s="2" t="str">
        <x:f>IF(ISNUMBER(K254),IF(AND(K254=1,I254="No"),1,0),K254)</x:f>
      </x:c>
      <x:c r="M254" s="2" t="n">
        <x:f>IF(ISNUMBER(K254),1,0)</x:f>
        <x:v>0</x:v>
      </x:c>
    </x:row>
    <x:row r="255" ht="24" customHeight="1">
      <x:c r="A255" s="2" t="str">
        <x:v>S08.02</x:v>
      </x:c>
      <x:c r="B255" s="2" t="str">
        <x:v>S08</x:v>
      </x:c>
      <x:c r="C255" s="2" t="str">
        <x:v>gpt_clean</x:v>
      </x:c>
      <x:c r="D255" s="2" t="n">
        <x:v>3</x:v>
      </x:c>
      <x:c r="E255" s="8"/>
      <x:c r="F255" s="8"/>
      <x:c r="G255" s="9"/>
      <x:c r="H255" s="9"/>
      <x:c r="I255" s="8"/>
      <x:c r="J255" s="8"/>
      <x:c r="K255" s="2" t="str">
        <x:f>IF(OR(E255="",F255="",G255="",H255="",I255="",J255=""),"",IF(E255="Harness blocked","BLOCKED",IF(AND(E255="Present",F255="Supplied"),1,IF(OR(E255="Missing",E255="Not reached"),0,"CHECK"))))</x:f>
      </x:c>
      <x:c r="L255" s="2" t="str">
        <x:f>IF(ISNUMBER(K255),IF(AND(K255=1,I255="No"),1,0),K255)</x:f>
      </x:c>
      <x:c r="M255" s="2" t="n">
        <x:f>IF(ISNUMBER(K255),1,0)</x:f>
        <x:v>0</x:v>
      </x:c>
    </x:row>
    <x:row r="256" ht="24" customHeight="1">
      <x:c r="A256" s="2" t="str">
        <x:v>S08.03</x:v>
      </x:c>
      <x:c r="B256" s="2" t="str">
        <x:v>S08</x:v>
      </x:c>
      <x:c r="C256" s="2" t="str">
        <x:v>gpt_clean</x:v>
      </x:c>
      <x:c r="D256" s="2" t="n">
        <x:v>3</x:v>
      </x:c>
      <x:c r="E256" s="8"/>
      <x:c r="F256" s="8"/>
      <x:c r="G256" s="9"/>
      <x:c r="H256" s="9"/>
      <x:c r="I256" s="8"/>
      <x:c r="J256" s="8"/>
      <x:c r="K256" s="2" t="str">
        <x:f>IF(OR(E256="",F256="",G256="",H256="",I256="",J256=""),"",IF(E256="Harness blocked","BLOCKED",IF(AND(E256="Present",F256="Supplied"),1,IF(OR(E256="Missing",E256="Not reached"),0,"CHECK"))))</x:f>
      </x:c>
      <x:c r="L256" s="2" t="str">
        <x:f>IF(ISNUMBER(K256),IF(AND(K256=1,I256="No"),1,0),K256)</x:f>
      </x:c>
      <x:c r="M256" s="2" t="n">
        <x:f>IF(ISNUMBER(K256),1,0)</x:f>
        <x:v>0</x:v>
      </x:c>
    </x:row>
    <x:row r="257" ht="24" customHeight="1">
      <x:c r="A257" s="2" t="str">
        <x:v>S08.04</x:v>
      </x:c>
      <x:c r="B257" s="2" t="str">
        <x:v>S08</x:v>
      </x:c>
      <x:c r="C257" s="2" t="str">
        <x:v>gpt_clean</x:v>
      </x:c>
      <x:c r="D257" s="2" t="n">
        <x:v>3</x:v>
      </x:c>
      <x:c r="E257" s="8"/>
      <x:c r="F257" s="8"/>
      <x:c r="G257" s="9"/>
      <x:c r="H257" s="9"/>
      <x:c r="I257" s="8"/>
      <x:c r="J257" s="8"/>
      <x:c r="K257" s="2" t="str">
        <x:f>IF(OR(E257="",F257="",G257="",H257="",I257="",J257=""),"",IF(E257="Harness blocked","BLOCKED",IF(AND(E257="Present",F257="Supplied"),1,IF(OR(E257="Missing",E257="Not reached"),0,"CHECK"))))</x:f>
      </x:c>
      <x:c r="L257" s="2" t="str">
        <x:f>IF(ISNUMBER(K257),IF(AND(K257=1,I257="No"),1,0),K257)</x:f>
      </x:c>
      <x:c r="M257" s="2" t="n">
        <x:f>IF(ISNUMBER(K257),1,0)</x:f>
        <x:v>0</x:v>
      </x:c>
    </x:row>
    <x:row r="258" ht="24" customHeight="1">
      <x:c r="A258" s="2" t="str">
        <x:v>S08.05</x:v>
      </x:c>
      <x:c r="B258" s="2" t="str">
        <x:v>S08</x:v>
      </x:c>
      <x:c r="C258" s="2" t="str">
        <x:v>gpt_clean</x:v>
      </x:c>
      <x:c r="D258" s="2" t="n">
        <x:v>3</x:v>
      </x:c>
      <x:c r="E258" s="8"/>
      <x:c r="F258" s="8"/>
      <x:c r="G258" s="9"/>
      <x:c r="H258" s="9"/>
      <x:c r="I258" s="8"/>
      <x:c r="J258" s="8"/>
      <x:c r="K258" s="2" t="str">
        <x:f>IF(OR(E258="",F258="",G258="",H258="",I258="",J258=""),"",IF(E258="Harness blocked","BLOCKED",IF(AND(E258="Present",F258="Supplied"),1,IF(OR(E258="Missing",E258="Not reached"),0,"CHECK"))))</x:f>
      </x:c>
      <x:c r="L258" s="2" t="str">
        <x:f>IF(ISNUMBER(K258),IF(AND(K258=1,I258="No"),1,0),K258)</x:f>
      </x:c>
      <x:c r="M258" s="2" t="n">
        <x:f>IF(ISNUMBER(K258),1,0)</x:f>
        <x:v>0</x:v>
      </x:c>
    </x:row>
    <x:row r="259" ht="24" customHeight="1">
      <x:c r="A259" s="2" t="str">
        <x:v>S08.06</x:v>
      </x:c>
      <x:c r="B259" s="2" t="str">
        <x:v>S08</x:v>
      </x:c>
      <x:c r="C259" s="2" t="str">
        <x:v>gpt_clean</x:v>
      </x:c>
      <x:c r="D259" s="2" t="n">
        <x:v>3</x:v>
      </x:c>
      <x:c r="E259" s="8"/>
      <x:c r="F259" s="8"/>
      <x:c r="G259" s="9"/>
      <x:c r="H259" s="9"/>
      <x:c r="I259" s="8"/>
      <x:c r="J259" s="8"/>
      <x:c r="K259" s="2" t="str">
        <x:f>IF(OR(E259="",F259="",G259="",H259="",I259="",J259=""),"",IF(E259="Harness blocked","BLOCKED",IF(AND(E259="Present",F259="Supplied"),1,IF(OR(E259="Missing",E259="Not reached"),0,"CHECK"))))</x:f>
      </x:c>
      <x:c r="L259" s="2" t="str">
        <x:f>IF(ISNUMBER(K259),IF(AND(K259=1,I259="No"),1,0),K259)</x:f>
      </x:c>
      <x:c r="M259" s="2" t="n">
        <x:f>IF(ISNUMBER(K259),1,0)</x:f>
        <x:v>0</x:v>
      </x:c>
    </x:row>
    <x:row r="260" ht="24" customHeight="1">
      <x:c r="A260" s="2" t="str">
        <x:v>S08.07</x:v>
      </x:c>
      <x:c r="B260" s="2" t="str">
        <x:v>S08</x:v>
      </x:c>
      <x:c r="C260" s="2" t="str">
        <x:v>gpt_clean</x:v>
      </x:c>
      <x:c r="D260" s="2" t="n">
        <x:v>3</x:v>
      </x:c>
      <x:c r="E260" s="8"/>
      <x:c r="F260" s="8"/>
      <x:c r="G260" s="9"/>
      <x:c r="H260" s="9"/>
      <x:c r="I260" s="8"/>
      <x:c r="J260" s="8"/>
      <x:c r="K260" s="2" t="str">
        <x:f>IF(OR(E260="",F260="",G260="",H260="",I260="",J260=""),"",IF(E260="Harness blocked","BLOCKED",IF(AND(E260="Present",F260="Supplied"),1,IF(OR(E260="Missing",E260="Not reached"),0,"CHECK"))))</x:f>
      </x:c>
      <x:c r="L260" s="2" t="str">
        <x:f>IF(ISNUMBER(K260),IF(AND(K260=1,I260="No"),1,0),K260)</x:f>
      </x:c>
      <x:c r="M260" s="2" t="n">
        <x:f>IF(ISNUMBER(K260),1,0)</x:f>
        <x:v>0</x:v>
      </x:c>
    </x:row>
    <x:row r="261" ht="24" customHeight="1">
      <x:c r="A261" s="2" t="str">
        <x:v>S08.08</x:v>
      </x:c>
      <x:c r="B261" s="2" t="str">
        <x:v>S08</x:v>
      </x:c>
      <x:c r="C261" s="2" t="str">
        <x:v>gpt_clean</x:v>
      </x:c>
      <x:c r="D261" s="2" t="n">
        <x:v>3</x:v>
      </x:c>
      <x:c r="E261" s="8"/>
      <x:c r="F261" s="8"/>
      <x:c r="G261" s="9"/>
      <x:c r="H261" s="9"/>
      <x:c r="I261" s="8"/>
      <x:c r="J261" s="8"/>
      <x:c r="K261" s="2" t="str">
        <x:f>IF(OR(E261="",F261="",G261="",H261="",I261="",J261=""),"",IF(E261="Harness blocked","BLOCKED",IF(AND(E261="Present",F261="Supplied"),1,IF(OR(E261="Missing",E261="Not reached"),0,"CHECK"))))</x:f>
      </x:c>
      <x:c r="L261" s="2" t="str">
        <x:f>IF(ISNUMBER(K261),IF(AND(K261=1,I261="No"),1,0),K261)</x:f>
      </x:c>
      <x:c r="M261" s="2" t="n">
        <x:f>IF(ISNUMBER(K261),1,0)</x:f>
        <x:v>0</x:v>
      </x:c>
    </x:row>
    <x:row r="262" ht="24" customHeight="1">
      <x:c r="A262" s="2" t="str">
        <x:v>S09.01</x:v>
      </x:c>
      <x:c r="B262" s="2" t="str">
        <x:v>S09</x:v>
      </x:c>
      <x:c r="C262" s="2" t="str">
        <x:v>gpt_clean</x:v>
      </x:c>
      <x:c r="D262" s="2" t="n">
        <x:v>3</x:v>
      </x:c>
      <x:c r="E262" s="8"/>
      <x:c r="F262" s="8"/>
      <x:c r="G262" s="9"/>
      <x:c r="H262" s="9"/>
      <x:c r="I262" s="8"/>
      <x:c r="J262" s="8"/>
      <x:c r="K262" s="2" t="str">
        <x:f>IF(OR(E262="",F262="",G262="",H262="",I262="",J262=""),"",IF(E262="Harness blocked","BLOCKED",IF(AND(E262="Present",F262="Supplied"),1,IF(OR(E262="Missing",E262="Not reached"),0,"CHECK"))))</x:f>
      </x:c>
      <x:c r="L262" s="2" t="str">
        <x:f>IF(ISNUMBER(K262),IF(AND(K262=1,I262="No"),1,0),K262)</x:f>
      </x:c>
      <x:c r="M262" s="2" t="n">
        <x:f>IF(ISNUMBER(K262),1,0)</x:f>
        <x:v>0</x:v>
      </x:c>
    </x:row>
    <x:row r="263" ht="24" customHeight="1">
      <x:c r="A263" s="2" t="str">
        <x:v>S09.02</x:v>
      </x:c>
      <x:c r="B263" s="2" t="str">
        <x:v>S09</x:v>
      </x:c>
      <x:c r="C263" s="2" t="str">
        <x:v>gpt_clean</x:v>
      </x:c>
      <x:c r="D263" s="2" t="n">
        <x:v>3</x:v>
      </x:c>
      <x:c r="E263" s="8"/>
      <x:c r="F263" s="8"/>
      <x:c r="G263" s="9"/>
      <x:c r="H263" s="9"/>
      <x:c r="I263" s="8"/>
      <x:c r="J263" s="8"/>
      <x:c r="K263" s="2" t="str">
        <x:f>IF(OR(E263="",F263="",G263="",H263="",I263="",J263=""),"",IF(E263="Harness blocked","BLOCKED",IF(AND(E263="Present",F263="Supplied"),1,IF(OR(E263="Missing",E263="Not reached"),0,"CHECK"))))</x:f>
      </x:c>
      <x:c r="L263" s="2" t="str">
        <x:f>IF(ISNUMBER(K263),IF(AND(K263=1,I263="No"),1,0),K263)</x:f>
      </x:c>
      <x:c r="M263" s="2" t="n">
        <x:f>IF(ISNUMBER(K263),1,0)</x:f>
        <x:v>0</x:v>
      </x:c>
    </x:row>
    <x:row r="264" ht="24" customHeight="1">
      <x:c r="A264" s="2" t="str">
        <x:v>S09.03</x:v>
      </x:c>
      <x:c r="B264" s="2" t="str">
        <x:v>S09</x:v>
      </x:c>
      <x:c r="C264" s="2" t="str">
        <x:v>gpt_clean</x:v>
      </x:c>
      <x:c r="D264" s="2" t="n">
        <x:v>3</x:v>
      </x:c>
      <x:c r="E264" s="8"/>
      <x:c r="F264" s="8"/>
      <x:c r="G264" s="9"/>
      <x:c r="H264" s="9"/>
      <x:c r="I264" s="8"/>
      <x:c r="J264" s="8"/>
      <x:c r="K264" s="2" t="str">
        <x:f>IF(OR(E264="",F264="",G264="",H264="",I264="",J264=""),"",IF(E264="Harness blocked","BLOCKED",IF(AND(E264="Present",F264="Supplied"),1,IF(OR(E264="Missing",E264="Not reached"),0,"CHECK"))))</x:f>
      </x:c>
      <x:c r="L264" s="2" t="str">
        <x:f>IF(ISNUMBER(K264),IF(AND(K264=1,I264="No"),1,0),K264)</x:f>
      </x:c>
      <x:c r="M264" s="2" t="n">
        <x:f>IF(ISNUMBER(K264),1,0)</x:f>
        <x:v>0</x:v>
      </x:c>
    </x:row>
    <x:row r="265" ht="24" customHeight="1">
      <x:c r="A265" s="2" t="str">
        <x:v>S09.04</x:v>
      </x:c>
      <x:c r="B265" s="2" t="str">
        <x:v>S09</x:v>
      </x:c>
      <x:c r="C265" s="2" t="str">
        <x:v>gpt_clean</x:v>
      </x:c>
      <x:c r="D265" s="2" t="n">
        <x:v>3</x:v>
      </x:c>
      <x:c r="E265" s="8"/>
      <x:c r="F265" s="8"/>
      <x:c r="G265" s="9"/>
      <x:c r="H265" s="9"/>
      <x:c r="I265" s="8"/>
      <x:c r="J265" s="8"/>
      <x:c r="K265" s="2" t="str">
        <x:f>IF(OR(E265="",F265="",G265="",H265="",I265="",J265=""),"",IF(E265="Harness blocked","BLOCKED",IF(AND(E265="Present",F265="Supplied"),1,IF(OR(E265="Missing",E265="Not reached"),0,"CHECK"))))</x:f>
      </x:c>
      <x:c r="L265" s="2" t="str">
        <x:f>IF(ISNUMBER(K265),IF(AND(K265=1,I265="No"),1,0),K265)</x:f>
      </x:c>
      <x:c r="M265" s="2" t="n">
        <x:f>IF(ISNUMBER(K265),1,0)</x:f>
        <x:v>0</x:v>
      </x:c>
    </x:row>
    <x:row r="266" ht="24" customHeight="1">
      <x:c r="A266" s="2" t="str">
        <x:v>S09.05</x:v>
      </x:c>
      <x:c r="B266" s="2" t="str">
        <x:v>S09</x:v>
      </x:c>
      <x:c r="C266" s="2" t="str">
        <x:v>gpt_clean</x:v>
      </x:c>
      <x:c r="D266" s="2" t="n">
        <x:v>3</x:v>
      </x:c>
      <x:c r="E266" s="8"/>
      <x:c r="F266" s="8"/>
      <x:c r="G266" s="9"/>
      <x:c r="H266" s="9"/>
      <x:c r="I266" s="8"/>
      <x:c r="J266" s="8"/>
      <x:c r="K266" s="2" t="str">
        <x:f>IF(OR(E266="",F266="",G266="",H266="",I266="",J266=""),"",IF(E266="Harness blocked","BLOCKED",IF(AND(E266="Present",F266="Supplied"),1,IF(OR(E266="Missing",E266="Not reached"),0,"CHECK"))))</x:f>
      </x:c>
      <x:c r="L266" s="2" t="str">
        <x:f>IF(ISNUMBER(K266),IF(AND(K266=1,I266="No"),1,0),K266)</x:f>
      </x:c>
      <x:c r="M266" s="2" t="n">
        <x:f>IF(ISNUMBER(K266),1,0)</x:f>
        <x:v>0</x:v>
      </x:c>
    </x:row>
    <x:row r="267" ht="24" customHeight="1">
      <x:c r="A267" s="2" t="str">
        <x:v>S09.06</x:v>
      </x:c>
      <x:c r="B267" s="2" t="str">
        <x:v>S09</x:v>
      </x:c>
      <x:c r="C267" s="2" t="str">
        <x:v>gpt_clean</x:v>
      </x:c>
      <x:c r="D267" s="2" t="n">
        <x:v>3</x:v>
      </x:c>
      <x:c r="E267" s="8"/>
      <x:c r="F267" s="8"/>
      <x:c r="G267" s="9"/>
      <x:c r="H267" s="9"/>
      <x:c r="I267" s="8"/>
      <x:c r="J267" s="8"/>
      <x:c r="K267" s="2" t="str">
        <x:f>IF(OR(E267="",F267="",G267="",H267="",I267="",J267=""),"",IF(E267="Harness blocked","BLOCKED",IF(AND(E267="Present",F267="Supplied"),1,IF(OR(E267="Missing",E267="Not reached"),0,"CHECK"))))</x:f>
      </x:c>
      <x:c r="L267" s="2" t="str">
        <x:f>IF(ISNUMBER(K267),IF(AND(K267=1,I267="No"),1,0),K267)</x:f>
      </x:c>
      <x:c r="M267" s="2" t="n">
        <x:f>IF(ISNUMBER(K267),1,0)</x:f>
        <x:v>0</x:v>
      </x:c>
    </x:row>
    <x:row r="268" ht="24" customHeight="1">
      <x:c r="A268" s="2" t="str">
        <x:v>S09.07</x:v>
      </x:c>
      <x:c r="B268" s="2" t="str">
        <x:v>S09</x:v>
      </x:c>
      <x:c r="C268" s="2" t="str">
        <x:v>gpt_clean</x:v>
      </x:c>
      <x:c r="D268" s="2" t="n">
        <x:v>3</x:v>
      </x:c>
      <x:c r="E268" s="8"/>
      <x:c r="F268" s="8"/>
      <x:c r="G268" s="9"/>
      <x:c r="H268" s="9"/>
      <x:c r="I268" s="8"/>
      <x:c r="J268" s="8"/>
      <x:c r="K268" s="2" t="str">
        <x:f>IF(OR(E268="",F268="",G268="",H268="",I268="",J268=""),"",IF(E268="Harness blocked","BLOCKED",IF(AND(E268="Present",F268="Supplied"),1,IF(OR(E268="Missing",E268="Not reached"),0,"CHECK"))))</x:f>
      </x:c>
      <x:c r="L268" s="2" t="str">
        <x:f>IF(ISNUMBER(K268),IF(AND(K268=1,I268="No"),1,0),K268)</x:f>
      </x:c>
      <x:c r="M268" s="2" t="n">
        <x:f>IF(ISNUMBER(K268),1,0)</x:f>
        <x:v>0</x:v>
      </x:c>
    </x:row>
    <x:row r="269" ht="24" customHeight="1">
      <x:c r="A269" s="2" t="str">
        <x:v>S09.08</x:v>
      </x:c>
      <x:c r="B269" s="2" t="str">
        <x:v>S09</x:v>
      </x:c>
      <x:c r="C269" s="2" t="str">
        <x:v>gpt_clean</x:v>
      </x:c>
      <x:c r="D269" s="2" t="n">
        <x:v>3</x:v>
      </x:c>
      <x:c r="E269" s="8"/>
      <x:c r="F269" s="8"/>
      <x:c r="G269" s="9"/>
      <x:c r="H269" s="9"/>
      <x:c r="I269" s="8"/>
      <x:c r="J269" s="8"/>
      <x:c r="K269" s="2" t="str">
        <x:f>IF(OR(E269="",F269="",G269="",H269="",I269="",J269=""),"",IF(E269="Harness blocked","BLOCKED",IF(AND(E269="Present",F269="Supplied"),1,IF(OR(E269="Missing",E269="Not reached"),0,"CHECK"))))</x:f>
      </x:c>
      <x:c r="L269" s="2" t="str">
        <x:f>IF(ISNUMBER(K269),IF(AND(K269=1,I269="No"),1,0),K269)</x:f>
      </x:c>
      <x:c r="M269" s="2" t="n">
        <x:f>IF(ISNUMBER(K269),1,0)</x:f>
        <x:v>0</x:v>
      </x:c>
    </x:row>
    <x:row r="270" ht="24" customHeight="1">
      <x:c r="A270" s="2" t="str">
        <x:v>S10.01</x:v>
      </x:c>
      <x:c r="B270" s="2" t="str">
        <x:v>S10</x:v>
      </x:c>
      <x:c r="C270" s="2" t="str">
        <x:v>gpt_clean</x:v>
      </x:c>
      <x:c r="D270" s="2" t="n">
        <x:v>3</x:v>
      </x:c>
      <x:c r="E270" s="8"/>
      <x:c r="F270" s="8"/>
      <x:c r="G270" s="9"/>
      <x:c r="H270" s="9"/>
      <x:c r="I270" s="8"/>
      <x:c r="J270" s="8"/>
      <x:c r="K270" s="2" t="str">
        <x:f>IF(OR(E270="",F270="",G270="",H270="",I270="",J270=""),"",IF(E270="Harness blocked","BLOCKED",IF(AND(E270="Present",F270="Supplied"),1,IF(OR(E270="Missing",E270="Not reached"),0,"CHECK"))))</x:f>
      </x:c>
      <x:c r="L270" s="2" t="str">
        <x:f>IF(ISNUMBER(K270),IF(AND(K270=1,I270="No"),1,0),K270)</x:f>
      </x:c>
      <x:c r="M270" s="2" t="n">
        <x:f>IF(ISNUMBER(K270),1,0)</x:f>
        <x:v>0</x:v>
      </x:c>
    </x:row>
    <x:row r="271" ht="24" customHeight="1">
      <x:c r="A271" s="2" t="str">
        <x:v>S10.02</x:v>
      </x:c>
      <x:c r="B271" s="2" t="str">
        <x:v>S10</x:v>
      </x:c>
      <x:c r="C271" s="2" t="str">
        <x:v>gpt_clean</x:v>
      </x:c>
      <x:c r="D271" s="2" t="n">
        <x:v>3</x:v>
      </x:c>
      <x:c r="E271" s="8"/>
      <x:c r="F271" s="8"/>
      <x:c r="G271" s="9"/>
      <x:c r="H271" s="9"/>
      <x:c r="I271" s="8"/>
      <x:c r="J271" s="8"/>
      <x:c r="K271" s="2" t="str">
        <x:f>IF(OR(E271="",F271="",G271="",H271="",I271="",J271=""),"",IF(E271="Harness blocked","BLOCKED",IF(AND(E271="Present",F271="Supplied"),1,IF(OR(E271="Missing",E271="Not reached"),0,"CHECK"))))</x:f>
      </x:c>
      <x:c r="L271" s="2" t="str">
        <x:f>IF(ISNUMBER(K271),IF(AND(K271=1,I271="No"),1,0),K271)</x:f>
      </x:c>
      <x:c r="M271" s="2" t="n">
        <x:f>IF(ISNUMBER(K271),1,0)</x:f>
        <x:v>0</x:v>
      </x:c>
    </x:row>
    <x:row r="272" ht="24" customHeight="1">
      <x:c r="A272" s="2" t="str">
        <x:v>S10.03</x:v>
      </x:c>
      <x:c r="B272" s="2" t="str">
        <x:v>S10</x:v>
      </x:c>
      <x:c r="C272" s="2" t="str">
        <x:v>gpt_clean</x:v>
      </x:c>
      <x:c r="D272" s="2" t="n">
        <x:v>3</x:v>
      </x:c>
      <x:c r="E272" s="8"/>
      <x:c r="F272" s="8"/>
      <x:c r="G272" s="9"/>
      <x:c r="H272" s="9"/>
      <x:c r="I272" s="8"/>
      <x:c r="J272" s="8"/>
      <x:c r="K272" s="2" t="str">
        <x:f>IF(OR(E272="",F272="",G272="",H272="",I272="",J272=""),"",IF(E272="Harness blocked","BLOCKED",IF(AND(E272="Present",F272="Supplied"),1,IF(OR(E272="Missing",E272="Not reached"),0,"CHECK"))))</x:f>
      </x:c>
      <x:c r="L272" s="2" t="str">
        <x:f>IF(ISNUMBER(K272),IF(AND(K272=1,I272="No"),1,0),K272)</x:f>
      </x:c>
      <x:c r="M272" s="2" t="n">
        <x:f>IF(ISNUMBER(K272),1,0)</x:f>
        <x:v>0</x:v>
      </x:c>
    </x:row>
    <x:row r="273" ht="24" customHeight="1">
      <x:c r="A273" s="2" t="str">
        <x:v>S10.04</x:v>
      </x:c>
      <x:c r="B273" s="2" t="str">
        <x:v>S10</x:v>
      </x:c>
      <x:c r="C273" s="2" t="str">
        <x:v>gpt_clean</x:v>
      </x:c>
      <x:c r="D273" s="2" t="n">
        <x:v>3</x:v>
      </x:c>
      <x:c r="E273" s="8"/>
      <x:c r="F273" s="8"/>
      <x:c r="G273" s="9"/>
      <x:c r="H273" s="9"/>
      <x:c r="I273" s="8"/>
      <x:c r="J273" s="8"/>
      <x:c r="K273" s="2" t="str">
        <x:f>IF(OR(E273="",F273="",G273="",H273="",I273="",J273=""),"",IF(E273="Harness blocked","BLOCKED",IF(AND(E273="Present",F273="Supplied"),1,IF(OR(E273="Missing",E273="Not reached"),0,"CHECK"))))</x:f>
      </x:c>
      <x:c r="L273" s="2" t="str">
        <x:f>IF(ISNUMBER(K273),IF(AND(K273=1,I273="No"),1,0),K273)</x:f>
      </x:c>
      <x:c r="M273" s="2" t="n">
        <x:f>IF(ISNUMBER(K273),1,0)</x:f>
        <x:v>0</x:v>
      </x:c>
    </x:row>
    <x:row r="274" ht="24" customHeight="1">
      <x:c r="A274" s="2" t="str">
        <x:v>S10.05</x:v>
      </x:c>
      <x:c r="B274" s="2" t="str">
        <x:v>S10</x:v>
      </x:c>
      <x:c r="C274" s="2" t="str">
        <x:v>gpt_clean</x:v>
      </x:c>
      <x:c r="D274" s="2" t="n">
        <x:v>3</x:v>
      </x:c>
      <x:c r="E274" s="8"/>
      <x:c r="F274" s="8"/>
      <x:c r="G274" s="9"/>
      <x:c r="H274" s="9"/>
      <x:c r="I274" s="8"/>
      <x:c r="J274" s="8"/>
      <x:c r="K274" s="2" t="str">
        <x:f>IF(OR(E274="",F274="",G274="",H274="",I274="",J274=""),"",IF(E274="Harness blocked","BLOCKED",IF(AND(E274="Present",F274="Supplied"),1,IF(OR(E274="Missing",E274="Not reached"),0,"CHECK"))))</x:f>
      </x:c>
      <x:c r="L274" s="2" t="str">
        <x:f>IF(ISNUMBER(K274),IF(AND(K274=1,I274="No"),1,0),K274)</x:f>
      </x:c>
      <x:c r="M274" s="2" t="n">
        <x:f>IF(ISNUMBER(K274),1,0)</x:f>
        <x:v>0</x:v>
      </x:c>
    </x:row>
    <x:row r="275" ht="24" customHeight="1">
      <x:c r="A275" s="2" t="str">
        <x:v>S10.06</x:v>
      </x:c>
      <x:c r="B275" s="2" t="str">
        <x:v>S10</x:v>
      </x:c>
      <x:c r="C275" s="2" t="str">
        <x:v>gpt_clean</x:v>
      </x:c>
      <x:c r="D275" s="2" t="n">
        <x:v>3</x:v>
      </x:c>
      <x:c r="E275" s="8"/>
      <x:c r="F275" s="8"/>
      <x:c r="G275" s="9"/>
      <x:c r="H275" s="9"/>
      <x:c r="I275" s="8"/>
      <x:c r="J275" s="8"/>
      <x:c r="K275" s="2" t="str">
        <x:f>IF(OR(E275="",F275="",G275="",H275="",I275="",J275=""),"",IF(E275="Harness blocked","BLOCKED",IF(AND(E275="Present",F275="Supplied"),1,IF(OR(E275="Missing",E275="Not reached"),0,"CHECK"))))</x:f>
      </x:c>
      <x:c r="L275" s="2" t="str">
        <x:f>IF(ISNUMBER(K275),IF(AND(K275=1,I275="No"),1,0),K275)</x:f>
      </x:c>
      <x:c r="M275" s="2" t="n">
        <x:f>IF(ISNUMBER(K275),1,0)</x:f>
        <x:v>0</x:v>
      </x:c>
    </x:row>
    <x:row r="276" ht="24" customHeight="1">
      <x:c r="A276" s="2" t="str">
        <x:v>S10.07</x:v>
      </x:c>
      <x:c r="B276" s="2" t="str">
        <x:v>S10</x:v>
      </x:c>
      <x:c r="C276" s="2" t="str">
        <x:v>gpt_clean</x:v>
      </x:c>
      <x:c r="D276" s="2" t="n">
        <x:v>3</x:v>
      </x:c>
      <x:c r="E276" s="8"/>
      <x:c r="F276" s="8"/>
      <x:c r="G276" s="9"/>
      <x:c r="H276" s="9"/>
      <x:c r="I276" s="8"/>
      <x:c r="J276" s="8"/>
      <x:c r="K276" s="2" t="str">
        <x:f>IF(OR(E276="",F276="",G276="",H276="",I276="",J276=""),"",IF(E276="Harness blocked","BLOCKED",IF(AND(E276="Present",F276="Supplied"),1,IF(OR(E276="Missing",E276="Not reached"),0,"CHECK"))))</x:f>
      </x:c>
      <x:c r="L276" s="2" t="str">
        <x:f>IF(ISNUMBER(K276),IF(AND(K276=1,I276="No"),1,0),K276)</x:f>
      </x:c>
      <x:c r="M276" s="2" t="n">
        <x:f>IF(ISNUMBER(K276),1,0)</x:f>
        <x:v>0</x:v>
      </x:c>
    </x:row>
    <x:row r="277" ht="24" customHeight="1">
      <x:c r="A277" s="2" t="str">
        <x:v>S10.08</x:v>
      </x:c>
      <x:c r="B277" s="2" t="str">
        <x:v>S10</x:v>
      </x:c>
      <x:c r="C277" s="2" t="str">
        <x:v>gpt_clean</x:v>
      </x:c>
      <x:c r="D277" s="2" t="n">
        <x:v>3</x:v>
      </x:c>
      <x:c r="E277" s="8"/>
      <x:c r="F277" s="8"/>
      <x:c r="G277" s="9"/>
      <x:c r="H277" s="9"/>
      <x:c r="I277" s="8"/>
      <x:c r="J277" s="8"/>
      <x:c r="K277" s="2" t="str">
        <x:f>IF(OR(E277="",F277="",G277="",H277="",I277="",J277=""),"",IF(E277="Harness blocked","BLOCKED",IF(AND(E277="Present",F277="Supplied"),1,IF(OR(E277="Missing",E277="Not reached"),0,"CHECK"))))</x:f>
      </x:c>
      <x:c r="L277" s="2" t="str">
        <x:f>IF(ISNUMBER(K277),IF(AND(K277=1,I277="No"),1,0),K277)</x:f>
      </x:c>
      <x:c r="M277" s="2" t="n">
        <x:f>IF(ISNUMBER(K277),1,0)</x:f>
        <x:v>0</x:v>
      </x:c>
    </x:row>
    <x:row r="278" ht="24" customHeight="1">
      <x:c r="A278" s="2" t="str">
        <x:v>S11.01</x:v>
      </x:c>
      <x:c r="B278" s="2" t="str">
        <x:v>S11</x:v>
      </x:c>
      <x:c r="C278" s="2" t="str">
        <x:v>gpt_clean</x:v>
      </x:c>
      <x:c r="D278" s="2" t="n">
        <x:v>3</x:v>
      </x:c>
      <x:c r="E278" s="8"/>
      <x:c r="F278" s="8"/>
      <x:c r="G278" s="9"/>
      <x:c r="H278" s="9"/>
      <x:c r="I278" s="8"/>
      <x:c r="J278" s="8"/>
      <x:c r="K278" s="2" t="str">
        <x:f>IF(OR(E278="",F278="",G278="",H278="",I278="",J278=""),"",IF(E278="Harness blocked","BLOCKED",IF(AND(E278="Present",F278="Supplied"),1,IF(OR(E278="Missing",E278="Not reached"),0,"CHECK"))))</x:f>
      </x:c>
      <x:c r="L278" s="2" t="str">
        <x:f>IF(ISNUMBER(K278),IF(AND(K278=1,I278="No"),1,0),K278)</x:f>
      </x:c>
      <x:c r="M278" s="2" t="n">
        <x:f>IF(ISNUMBER(K278),1,0)</x:f>
        <x:v>0</x:v>
      </x:c>
    </x:row>
    <x:row r="279" ht="24" customHeight="1">
      <x:c r="A279" s="2" t="str">
        <x:v>S11.02</x:v>
      </x:c>
      <x:c r="B279" s="2" t="str">
        <x:v>S11</x:v>
      </x:c>
      <x:c r="C279" s="2" t="str">
        <x:v>gpt_clean</x:v>
      </x:c>
      <x:c r="D279" s="2" t="n">
        <x:v>3</x:v>
      </x:c>
      <x:c r="E279" s="8"/>
      <x:c r="F279" s="8"/>
      <x:c r="G279" s="9"/>
      <x:c r="H279" s="9"/>
      <x:c r="I279" s="8"/>
      <x:c r="J279" s="8"/>
      <x:c r="K279" s="2" t="str">
        <x:f>IF(OR(E279="",F279="",G279="",H279="",I279="",J279=""),"",IF(E279="Harness blocked","BLOCKED",IF(AND(E279="Present",F279="Supplied"),1,IF(OR(E279="Missing",E279="Not reached"),0,"CHECK"))))</x:f>
      </x:c>
      <x:c r="L279" s="2" t="str">
        <x:f>IF(ISNUMBER(K279),IF(AND(K279=1,I279="No"),1,0),K279)</x:f>
      </x:c>
      <x:c r="M279" s="2" t="n">
        <x:f>IF(ISNUMBER(K279),1,0)</x:f>
        <x:v>0</x:v>
      </x:c>
    </x:row>
    <x:row r="280" ht="24" customHeight="1">
      <x:c r="A280" s="2" t="str">
        <x:v>S11.03</x:v>
      </x:c>
      <x:c r="B280" s="2" t="str">
        <x:v>S11</x:v>
      </x:c>
      <x:c r="C280" s="2" t="str">
        <x:v>gpt_clean</x:v>
      </x:c>
      <x:c r="D280" s="2" t="n">
        <x:v>3</x:v>
      </x:c>
      <x:c r="E280" s="8"/>
      <x:c r="F280" s="8"/>
      <x:c r="G280" s="9"/>
      <x:c r="H280" s="9"/>
      <x:c r="I280" s="8"/>
      <x:c r="J280" s="8"/>
      <x:c r="K280" s="2" t="str">
        <x:f>IF(OR(E280="",F280="",G280="",H280="",I280="",J280=""),"",IF(E280="Harness blocked","BLOCKED",IF(AND(E280="Present",F280="Supplied"),1,IF(OR(E280="Missing",E280="Not reached"),0,"CHECK"))))</x:f>
      </x:c>
      <x:c r="L280" s="2" t="str">
        <x:f>IF(ISNUMBER(K280),IF(AND(K280=1,I280="No"),1,0),K280)</x:f>
      </x:c>
      <x:c r="M280" s="2" t="n">
        <x:f>IF(ISNUMBER(K280),1,0)</x:f>
        <x:v>0</x:v>
      </x:c>
    </x:row>
    <x:row r="281" ht="24" customHeight="1">
      <x:c r="A281" s="2" t="str">
        <x:v>S11.04</x:v>
      </x:c>
      <x:c r="B281" s="2" t="str">
        <x:v>S11</x:v>
      </x:c>
      <x:c r="C281" s="2" t="str">
        <x:v>gpt_clean</x:v>
      </x:c>
      <x:c r="D281" s="2" t="n">
        <x:v>3</x:v>
      </x:c>
      <x:c r="E281" s="8"/>
      <x:c r="F281" s="8"/>
      <x:c r="G281" s="9"/>
      <x:c r="H281" s="9"/>
      <x:c r="I281" s="8"/>
      <x:c r="J281" s="8"/>
      <x:c r="K281" s="2" t="str">
        <x:f>IF(OR(E281="",F281="",G281="",H281="",I281="",J281=""),"",IF(E281="Harness blocked","BLOCKED",IF(AND(E281="Present",F281="Supplied"),1,IF(OR(E281="Missing",E281="Not reached"),0,"CHECK"))))</x:f>
      </x:c>
      <x:c r="L281" s="2" t="str">
        <x:f>IF(ISNUMBER(K281),IF(AND(K281=1,I281="No"),1,0),K281)</x:f>
      </x:c>
      <x:c r="M281" s="2" t="n">
        <x:f>IF(ISNUMBER(K281),1,0)</x:f>
        <x:v>0</x:v>
      </x:c>
    </x:row>
    <x:row r="282" ht="24" customHeight="1">
      <x:c r="A282" s="2" t="str">
        <x:v>S11.05</x:v>
      </x:c>
      <x:c r="B282" s="2" t="str">
        <x:v>S11</x:v>
      </x:c>
      <x:c r="C282" s="2" t="str">
        <x:v>gpt_clean</x:v>
      </x:c>
      <x:c r="D282" s="2" t="n">
        <x:v>3</x:v>
      </x:c>
      <x:c r="E282" s="8"/>
      <x:c r="F282" s="8"/>
      <x:c r="G282" s="9"/>
      <x:c r="H282" s="9"/>
      <x:c r="I282" s="8"/>
      <x:c r="J282" s="8"/>
      <x:c r="K282" s="2" t="str">
        <x:f>IF(OR(E282="",F282="",G282="",H282="",I282="",J282=""),"",IF(E282="Harness blocked","BLOCKED",IF(AND(E282="Present",F282="Supplied"),1,IF(OR(E282="Missing",E282="Not reached"),0,"CHECK"))))</x:f>
      </x:c>
      <x:c r="L282" s="2" t="str">
        <x:f>IF(ISNUMBER(K282),IF(AND(K282=1,I282="No"),1,0),K282)</x:f>
      </x:c>
      <x:c r="M282" s="2" t="n">
        <x:f>IF(ISNUMBER(K282),1,0)</x:f>
        <x:v>0</x:v>
      </x:c>
    </x:row>
    <x:row r="283" ht="24" customHeight="1">
      <x:c r="A283" s="2" t="str">
        <x:v>S11.06</x:v>
      </x:c>
      <x:c r="B283" s="2" t="str">
        <x:v>S11</x:v>
      </x:c>
      <x:c r="C283" s="2" t="str">
        <x:v>gpt_clean</x:v>
      </x:c>
      <x:c r="D283" s="2" t="n">
        <x:v>3</x:v>
      </x:c>
      <x:c r="E283" s="8"/>
      <x:c r="F283" s="8"/>
      <x:c r="G283" s="9"/>
      <x:c r="H283" s="9"/>
      <x:c r="I283" s="8"/>
      <x:c r="J283" s="8"/>
      <x:c r="K283" s="2" t="str">
        <x:f>IF(OR(E283="",F283="",G283="",H283="",I283="",J283=""),"",IF(E283="Harness blocked","BLOCKED",IF(AND(E283="Present",F283="Supplied"),1,IF(OR(E283="Missing",E283="Not reached"),0,"CHECK"))))</x:f>
      </x:c>
      <x:c r="L283" s="2" t="str">
        <x:f>IF(ISNUMBER(K283),IF(AND(K283=1,I283="No"),1,0),K283)</x:f>
      </x:c>
      <x:c r="M283" s="2" t="n">
        <x:f>IF(ISNUMBER(K283),1,0)</x:f>
        <x:v>0</x:v>
      </x:c>
    </x:row>
    <x:row r="284" ht="24" customHeight="1">
      <x:c r="A284" s="2" t="str">
        <x:v>S11.07</x:v>
      </x:c>
      <x:c r="B284" s="2" t="str">
        <x:v>S11</x:v>
      </x:c>
      <x:c r="C284" s="2" t="str">
        <x:v>gpt_clean</x:v>
      </x:c>
      <x:c r="D284" s="2" t="n">
        <x:v>3</x:v>
      </x:c>
      <x:c r="E284" s="8"/>
      <x:c r="F284" s="8"/>
      <x:c r="G284" s="9"/>
      <x:c r="H284" s="9"/>
      <x:c r="I284" s="8"/>
      <x:c r="J284" s="8"/>
      <x:c r="K284" s="2" t="str">
        <x:f>IF(OR(E284="",F284="",G284="",H284="",I284="",J284=""),"",IF(E284="Harness blocked","BLOCKED",IF(AND(E284="Present",F284="Supplied"),1,IF(OR(E284="Missing",E284="Not reached"),0,"CHECK"))))</x:f>
      </x:c>
      <x:c r="L284" s="2" t="str">
        <x:f>IF(ISNUMBER(K284),IF(AND(K284=1,I284="No"),1,0),K284)</x:f>
      </x:c>
      <x:c r="M284" s="2" t="n">
        <x:f>IF(ISNUMBER(K284),1,0)</x:f>
        <x:v>0</x:v>
      </x:c>
    </x:row>
    <x:row r="285" ht="24" customHeight="1">
      <x:c r="A285" s="2" t="str">
        <x:v>S11.08</x:v>
      </x:c>
      <x:c r="B285" s="2" t="str">
        <x:v>S11</x:v>
      </x:c>
      <x:c r="C285" s="2" t="str">
        <x:v>gpt_clean</x:v>
      </x:c>
      <x:c r="D285" s="2" t="n">
        <x:v>3</x:v>
      </x:c>
      <x:c r="E285" s="8"/>
      <x:c r="F285" s="8"/>
      <x:c r="G285" s="9"/>
      <x:c r="H285" s="9"/>
      <x:c r="I285" s="8"/>
      <x:c r="J285" s="8"/>
      <x:c r="K285" s="2" t="str">
        <x:f>IF(OR(E285="",F285="",G285="",H285="",I285="",J285=""),"",IF(E285="Harness blocked","BLOCKED",IF(AND(E285="Present",F285="Supplied"),1,IF(OR(E285="Missing",E285="Not reached"),0,"CHECK"))))</x:f>
      </x:c>
      <x:c r="L285" s="2" t="str">
        <x:f>IF(ISNUMBER(K285),IF(AND(K285=1,I285="No"),1,0),K285)</x:f>
      </x:c>
      <x:c r="M285" s="2" t="n">
        <x:f>IF(ISNUMBER(K285),1,0)</x:f>
        <x:v>0</x:v>
      </x:c>
    </x:row>
    <x:row r="286" ht="24" customHeight="1">
      <x:c r="A286" s="2" t="str">
        <x:v>S12.01</x:v>
      </x:c>
      <x:c r="B286" s="2" t="str">
        <x:v>S12</x:v>
      </x:c>
      <x:c r="C286" s="2" t="str">
        <x:v>gpt_clean</x:v>
      </x:c>
      <x:c r="D286" s="2" t="n">
        <x:v>3</x:v>
      </x:c>
      <x:c r="E286" s="8"/>
      <x:c r="F286" s="8"/>
      <x:c r="G286" s="9"/>
      <x:c r="H286" s="9"/>
      <x:c r="I286" s="8"/>
      <x:c r="J286" s="8"/>
      <x:c r="K286" s="2" t="str">
        <x:f>IF(OR(E286="",F286="",G286="",H286="",I286="",J286=""),"",IF(E286="Harness blocked","BLOCKED",IF(AND(E286="Present",F286="Supplied"),1,IF(OR(E286="Missing",E286="Not reached"),0,"CHECK"))))</x:f>
      </x:c>
      <x:c r="L286" s="2" t="str">
        <x:f>IF(ISNUMBER(K286),IF(AND(K286=1,I286="No"),1,0),K286)</x:f>
      </x:c>
      <x:c r="M286" s="2" t="n">
        <x:f>IF(ISNUMBER(K286),1,0)</x:f>
        <x:v>0</x:v>
      </x:c>
    </x:row>
    <x:row r="287" ht="24" customHeight="1">
      <x:c r="A287" s="2" t="str">
        <x:v>S12.02</x:v>
      </x:c>
      <x:c r="B287" s="2" t="str">
        <x:v>S12</x:v>
      </x:c>
      <x:c r="C287" s="2" t="str">
        <x:v>gpt_clean</x:v>
      </x:c>
      <x:c r="D287" s="2" t="n">
        <x:v>3</x:v>
      </x:c>
      <x:c r="E287" s="8"/>
      <x:c r="F287" s="8"/>
      <x:c r="G287" s="9"/>
      <x:c r="H287" s="9"/>
      <x:c r="I287" s="8"/>
      <x:c r="J287" s="8"/>
      <x:c r="K287" s="2" t="str">
        <x:f>IF(OR(E287="",F287="",G287="",H287="",I287="",J287=""),"",IF(E287="Harness blocked","BLOCKED",IF(AND(E287="Present",F287="Supplied"),1,IF(OR(E287="Missing",E287="Not reached"),0,"CHECK"))))</x:f>
      </x:c>
      <x:c r="L287" s="2" t="str">
        <x:f>IF(ISNUMBER(K287),IF(AND(K287=1,I287="No"),1,0),K287)</x:f>
      </x:c>
      <x:c r="M287" s="2" t="n">
        <x:f>IF(ISNUMBER(K287),1,0)</x:f>
        <x:v>0</x:v>
      </x:c>
    </x:row>
    <x:row r="288" ht="24" customHeight="1">
      <x:c r="A288" s="2" t="str">
        <x:v>S12.03</x:v>
      </x:c>
      <x:c r="B288" s="2" t="str">
        <x:v>S12</x:v>
      </x:c>
      <x:c r="C288" s="2" t="str">
        <x:v>gpt_clean</x:v>
      </x:c>
      <x:c r="D288" s="2" t="n">
        <x:v>3</x:v>
      </x:c>
      <x:c r="E288" s="8"/>
      <x:c r="F288" s="8"/>
      <x:c r="G288" s="9"/>
      <x:c r="H288" s="9"/>
      <x:c r="I288" s="8"/>
      <x:c r="J288" s="8"/>
      <x:c r="K288" s="2" t="str">
        <x:f>IF(OR(E288="",F288="",G288="",H288="",I288="",J288=""),"",IF(E288="Harness blocked","BLOCKED",IF(AND(E288="Present",F288="Supplied"),1,IF(OR(E288="Missing",E288="Not reached"),0,"CHECK"))))</x:f>
      </x:c>
      <x:c r="L288" s="2" t="str">
        <x:f>IF(ISNUMBER(K288),IF(AND(K288=1,I288="No"),1,0),K288)</x:f>
      </x:c>
      <x:c r="M288" s="2" t="n">
        <x:f>IF(ISNUMBER(K288),1,0)</x:f>
        <x:v>0</x:v>
      </x:c>
    </x:row>
    <x:row r="289" ht="24" customHeight="1">
      <x:c r="A289" s="2" t="str">
        <x:v>S12.04</x:v>
      </x:c>
      <x:c r="B289" s="2" t="str">
        <x:v>S12</x:v>
      </x:c>
      <x:c r="C289" s="2" t="str">
        <x:v>gpt_clean</x:v>
      </x:c>
      <x:c r="D289" s="2" t="n">
        <x:v>3</x:v>
      </x:c>
      <x:c r="E289" s="8"/>
      <x:c r="F289" s="8"/>
      <x:c r="G289" s="9"/>
      <x:c r="H289" s="9"/>
      <x:c r="I289" s="8"/>
      <x:c r="J289" s="8"/>
      <x:c r="K289" s="2" t="str">
        <x:f>IF(OR(E289="",F289="",G289="",H289="",I289="",J289=""),"",IF(E289="Harness blocked","BLOCKED",IF(AND(E289="Present",F289="Supplied"),1,IF(OR(E289="Missing",E289="Not reached"),0,"CHECK"))))</x:f>
      </x:c>
      <x:c r="L289" s="2" t="str">
        <x:f>IF(ISNUMBER(K289),IF(AND(K289=1,I289="No"),1,0),K289)</x:f>
      </x:c>
      <x:c r="M289" s="2" t="n">
        <x:f>IF(ISNUMBER(K289),1,0)</x:f>
        <x:v>0</x:v>
      </x:c>
    </x:row>
    <x:row r="290" ht="24" customHeight="1">
      <x:c r="A290" s="2" t="str">
        <x:v>S12.05</x:v>
      </x:c>
      <x:c r="B290" s="2" t="str">
        <x:v>S12</x:v>
      </x:c>
      <x:c r="C290" s="2" t="str">
        <x:v>gpt_clean</x:v>
      </x:c>
      <x:c r="D290" s="2" t="n">
        <x:v>3</x:v>
      </x:c>
      <x:c r="E290" s="8"/>
      <x:c r="F290" s="8"/>
      <x:c r="G290" s="9"/>
      <x:c r="H290" s="9"/>
      <x:c r="I290" s="8"/>
      <x:c r="J290" s="8"/>
      <x:c r="K290" s="2" t="str">
        <x:f>IF(OR(E290="",F290="",G290="",H290="",I290="",J290=""),"",IF(E290="Harness blocked","BLOCKED",IF(AND(E290="Present",F290="Supplied"),1,IF(OR(E290="Missing",E290="Not reached"),0,"CHECK"))))</x:f>
      </x:c>
      <x:c r="L290" s="2" t="str">
        <x:f>IF(ISNUMBER(K290),IF(AND(K290=1,I290="No"),1,0),K290)</x:f>
      </x:c>
      <x:c r="M290" s="2" t="n">
        <x:f>IF(ISNUMBER(K290),1,0)</x:f>
        <x:v>0</x:v>
      </x:c>
    </x:row>
    <x:row r="291" ht="24" customHeight="1">
      <x:c r="A291" s="2" t="str">
        <x:v>S12.06</x:v>
      </x:c>
      <x:c r="B291" s="2" t="str">
        <x:v>S12</x:v>
      </x:c>
      <x:c r="C291" s="2" t="str">
        <x:v>gpt_clean</x:v>
      </x:c>
      <x:c r="D291" s="2" t="n">
        <x:v>3</x:v>
      </x:c>
      <x:c r="E291" s="8"/>
      <x:c r="F291" s="8"/>
      <x:c r="G291" s="9"/>
      <x:c r="H291" s="9"/>
      <x:c r="I291" s="8"/>
      <x:c r="J291" s="8"/>
      <x:c r="K291" s="2" t="str">
        <x:f>IF(OR(E291="",F291="",G291="",H291="",I291="",J291=""),"",IF(E291="Harness blocked","BLOCKED",IF(AND(E291="Present",F291="Supplied"),1,IF(OR(E291="Missing",E291="Not reached"),0,"CHECK"))))</x:f>
      </x:c>
      <x:c r="L291" s="2" t="str">
        <x:f>IF(ISNUMBER(K291),IF(AND(K291=1,I291="No"),1,0),K291)</x:f>
      </x:c>
      <x:c r="M291" s="2" t="n">
        <x:f>IF(ISNUMBER(K291),1,0)</x:f>
        <x:v>0</x:v>
      </x:c>
    </x:row>
    <x:row r="292" ht="24" customHeight="1">
      <x:c r="A292" s="2" t="str">
        <x:v>S12.07</x:v>
      </x:c>
      <x:c r="B292" s="2" t="str">
        <x:v>S12</x:v>
      </x:c>
      <x:c r="C292" s="2" t="str">
        <x:v>gpt_clean</x:v>
      </x:c>
      <x:c r="D292" s="2" t="n">
        <x:v>3</x:v>
      </x:c>
      <x:c r="E292" s="8"/>
      <x:c r="F292" s="8"/>
      <x:c r="G292" s="9"/>
      <x:c r="H292" s="9"/>
      <x:c r="I292" s="8"/>
      <x:c r="J292" s="8"/>
      <x:c r="K292" s="2" t="str">
        <x:f>IF(OR(E292="",F292="",G292="",H292="",I292="",J292=""),"",IF(E292="Harness blocked","BLOCKED",IF(AND(E292="Present",F292="Supplied"),1,IF(OR(E292="Missing",E292="Not reached"),0,"CHECK"))))</x:f>
      </x:c>
      <x:c r="L292" s="2" t="str">
        <x:f>IF(ISNUMBER(K292),IF(AND(K292=1,I292="No"),1,0),K292)</x:f>
      </x:c>
      <x:c r="M292" s="2" t="n">
        <x:f>IF(ISNUMBER(K292),1,0)</x:f>
        <x:v>0</x:v>
      </x:c>
    </x:row>
    <x:row r="293" ht="24" customHeight="1">
      <x:c r="A293" s="2" t="str">
        <x:v>S12.08</x:v>
      </x:c>
      <x:c r="B293" s="2" t="str">
        <x:v>S12</x:v>
      </x:c>
      <x:c r="C293" s="2" t="str">
        <x:v>gpt_clean</x:v>
      </x:c>
      <x:c r="D293" s="2" t="n">
        <x:v>3</x:v>
      </x:c>
      <x:c r="E293" s="8"/>
      <x:c r="F293" s="8"/>
      <x:c r="G293" s="9"/>
      <x:c r="H293" s="9"/>
      <x:c r="I293" s="8"/>
      <x:c r="J293" s="8"/>
      <x:c r="K293" s="2" t="str">
        <x:f>IF(OR(E293="",F293="",G293="",H293="",I293="",J293=""),"",IF(E293="Harness blocked","BLOCKED",IF(AND(E293="Present",F293="Supplied"),1,IF(OR(E293="Missing",E293="Not reached"),0,"CHECK"))))</x:f>
      </x:c>
      <x:c r="L293" s="2" t="str">
        <x:f>IF(ISNUMBER(K293),IF(AND(K293=1,I293="No"),1,0),K293)</x:f>
      </x:c>
      <x:c r="M293" s="2" t="n">
        <x:f>IF(ISNUMBER(K293),1,0)</x:f>
        <x:v>0</x:v>
      </x:c>
    </x:row>
    <x:row r="294" ht="24" customHeight="1">
      <x:c r="A294" s="2" t="str">
        <x:v>S01.01</x:v>
      </x:c>
      <x:c r="B294" s="2" t="str">
        <x:v>S01</x:v>
      </x:c>
      <x:c r="C294" s="2" t="str">
        <x:v>gpt_connected</x:v>
      </x:c>
      <x:c r="D294" s="2" t="n">
        <x:v>1</x:v>
      </x:c>
      <x:c r="E294" s="8"/>
      <x:c r="F294" s="8"/>
      <x:c r="G294" s="9"/>
      <x:c r="H294" s="9"/>
      <x:c r="I294" s="8"/>
      <x:c r="J294" s="8"/>
      <x:c r="K294" s="2" t="str">
        <x:f>IF(OR(E294="",F294="",G294="",H294="",I294="",J294=""),"",IF(E294="Harness blocked","BLOCKED",IF(AND(E294="Present",F294="Supplied"),1,IF(OR(E294="Missing",E294="Not reached"),0,"CHECK"))))</x:f>
      </x:c>
      <x:c r="L294" s="2" t="str">
        <x:f>IF(ISNUMBER(K294),IF(AND(K294=1,I294="No"),1,0),K294)</x:f>
      </x:c>
      <x:c r="M294" s="2" t="n">
        <x:f>IF(ISNUMBER(K294),1,0)</x:f>
        <x:v>0</x:v>
      </x:c>
    </x:row>
    <x:row r="295" ht="24" customHeight="1">
      <x:c r="A295" s="2" t="str">
        <x:v>S01.02</x:v>
      </x:c>
      <x:c r="B295" s="2" t="str">
        <x:v>S01</x:v>
      </x:c>
      <x:c r="C295" s="2" t="str">
        <x:v>gpt_connected</x:v>
      </x:c>
      <x:c r="D295" s="2" t="n">
        <x:v>1</x:v>
      </x:c>
      <x:c r="E295" s="8"/>
      <x:c r="F295" s="8"/>
      <x:c r="G295" s="9"/>
      <x:c r="H295" s="9"/>
      <x:c r="I295" s="8"/>
      <x:c r="J295" s="8"/>
      <x:c r="K295" s="2" t="str">
        <x:f>IF(OR(E295="",F295="",G295="",H295="",I295="",J295=""),"",IF(E295="Harness blocked","BLOCKED",IF(AND(E295="Present",F295="Supplied"),1,IF(OR(E295="Missing",E295="Not reached"),0,"CHECK"))))</x:f>
      </x:c>
      <x:c r="L295" s="2" t="str">
        <x:f>IF(ISNUMBER(K295),IF(AND(K295=1,I295="No"),1,0),K295)</x:f>
      </x:c>
      <x:c r="M295" s="2" t="n">
        <x:f>IF(ISNUMBER(K295),1,0)</x:f>
        <x:v>0</x:v>
      </x:c>
    </x:row>
    <x:row r="296" ht="24" customHeight="1">
      <x:c r="A296" s="2" t="str">
        <x:v>S01.03</x:v>
      </x:c>
      <x:c r="B296" s="2" t="str">
        <x:v>S01</x:v>
      </x:c>
      <x:c r="C296" s="2" t="str">
        <x:v>gpt_connected</x:v>
      </x:c>
      <x:c r="D296" s="2" t="n">
        <x:v>1</x:v>
      </x:c>
      <x:c r="E296" s="8"/>
      <x:c r="F296" s="8"/>
      <x:c r="G296" s="9"/>
      <x:c r="H296" s="9"/>
      <x:c r="I296" s="8"/>
      <x:c r="J296" s="8"/>
      <x:c r="K296" s="2" t="str">
        <x:f>IF(OR(E296="",F296="",G296="",H296="",I296="",J296=""),"",IF(E296="Harness blocked","BLOCKED",IF(AND(E296="Present",F296="Supplied"),1,IF(OR(E296="Missing",E296="Not reached"),0,"CHECK"))))</x:f>
      </x:c>
      <x:c r="L296" s="2" t="str">
        <x:f>IF(ISNUMBER(K296),IF(AND(K296=1,I296="No"),1,0),K296)</x:f>
      </x:c>
      <x:c r="M296" s="2" t="n">
        <x:f>IF(ISNUMBER(K296),1,0)</x:f>
        <x:v>0</x:v>
      </x:c>
    </x:row>
    <x:row r="297" ht="24" customHeight="1">
      <x:c r="A297" s="2" t="str">
        <x:v>S01.04</x:v>
      </x:c>
      <x:c r="B297" s="2" t="str">
        <x:v>S01</x:v>
      </x:c>
      <x:c r="C297" s="2" t="str">
        <x:v>gpt_connected</x:v>
      </x:c>
      <x:c r="D297" s="2" t="n">
        <x:v>1</x:v>
      </x:c>
      <x:c r="E297" s="8"/>
      <x:c r="F297" s="8"/>
      <x:c r="G297" s="9"/>
      <x:c r="H297" s="9"/>
      <x:c r="I297" s="8"/>
      <x:c r="J297" s="8"/>
      <x:c r="K297" s="2" t="str">
        <x:f>IF(OR(E297="",F297="",G297="",H297="",I297="",J297=""),"",IF(E297="Harness blocked","BLOCKED",IF(AND(E297="Present",F297="Supplied"),1,IF(OR(E297="Missing",E297="Not reached"),0,"CHECK"))))</x:f>
      </x:c>
      <x:c r="L297" s="2" t="str">
        <x:f>IF(ISNUMBER(K297),IF(AND(K297=1,I297="No"),1,0),K297)</x:f>
      </x:c>
      <x:c r="M297" s="2" t="n">
        <x:f>IF(ISNUMBER(K297),1,0)</x:f>
        <x:v>0</x:v>
      </x:c>
    </x:row>
    <x:row r="298" ht="24" customHeight="1">
      <x:c r="A298" s="2" t="str">
        <x:v>S01.05</x:v>
      </x:c>
      <x:c r="B298" s="2" t="str">
        <x:v>S01</x:v>
      </x:c>
      <x:c r="C298" s="2" t="str">
        <x:v>gpt_connected</x:v>
      </x:c>
      <x:c r="D298" s="2" t="n">
        <x:v>1</x:v>
      </x:c>
      <x:c r="E298" s="8"/>
      <x:c r="F298" s="8"/>
      <x:c r="G298" s="9"/>
      <x:c r="H298" s="9"/>
      <x:c r="I298" s="8"/>
      <x:c r="J298" s="8"/>
      <x:c r="K298" s="2" t="str">
        <x:f>IF(OR(E298="",F298="",G298="",H298="",I298="",J298=""),"",IF(E298="Harness blocked","BLOCKED",IF(AND(E298="Present",F298="Supplied"),1,IF(OR(E298="Missing",E298="Not reached"),0,"CHECK"))))</x:f>
      </x:c>
      <x:c r="L298" s="2" t="str">
        <x:f>IF(ISNUMBER(K298),IF(AND(K298=1,I298="No"),1,0),K298)</x:f>
      </x:c>
      <x:c r="M298" s="2" t="n">
        <x:f>IF(ISNUMBER(K298),1,0)</x:f>
        <x:v>0</x:v>
      </x:c>
    </x:row>
    <x:row r="299" ht="24" customHeight="1">
      <x:c r="A299" s="2" t="str">
        <x:v>S01.06</x:v>
      </x:c>
      <x:c r="B299" s="2" t="str">
        <x:v>S01</x:v>
      </x:c>
      <x:c r="C299" s="2" t="str">
        <x:v>gpt_connected</x:v>
      </x:c>
      <x:c r="D299" s="2" t="n">
        <x:v>1</x:v>
      </x:c>
      <x:c r="E299" s="8"/>
      <x:c r="F299" s="8"/>
      <x:c r="G299" s="9"/>
      <x:c r="H299" s="9"/>
      <x:c r="I299" s="8"/>
      <x:c r="J299" s="8"/>
      <x:c r="K299" s="2" t="str">
        <x:f>IF(OR(E299="",F299="",G299="",H299="",I299="",J299=""),"",IF(E299="Harness blocked","BLOCKED",IF(AND(E299="Present",F299="Supplied"),1,IF(OR(E299="Missing",E299="Not reached"),0,"CHECK"))))</x:f>
      </x:c>
      <x:c r="L299" s="2" t="str">
        <x:f>IF(ISNUMBER(K299),IF(AND(K299=1,I299="No"),1,0),K299)</x:f>
      </x:c>
      <x:c r="M299" s="2" t="n">
        <x:f>IF(ISNUMBER(K299),1,0)</x:f>
        <x:v>0</x:v>
      </x:c>
    </x:row>
    <x:row r="300" ht="24" customHeight="1">
      <x:c r="A300" s="2" t="str">
        <x:v>S01.07</x:v>
      </x:c>
      <x:c r="B300" s="2" t="str">
        <x:v>S01</x:v>
      </x:c>
      <x:c r="C300" s="2" t="str">
        <x:v>gpt_connected</x:v>
      </x:c>
      <x:c r="D300" s="2" t="n">
        <x:v>1</x:v>
      </x:c>
      <x:c r="E300" s="8"/>
      <x:c r="F300" s="8"/>
      <x:c r="G300" s="9"/>
      <x:c r="H300" s="9"/>
      <x:c r="I300" s="8"/>
      <x:c r="J300" s="8"/>
      <x:c r="K300" s="2" t="str">
        <x:f>IF(OR(E300="",F300="",G300="",H300="",I300="",J300=""),"",IF(E300="Harness blocked","BLOCKED",IF(AND(E300="Present",F300="Supplied"),1,IF(OR(E300="Missing",E300="Not reached"),0,"CHECK"))))</x:f>
      </x:c>
      <x:c r="L300" s="2" t="str">
        <x:f>IF(ISNUMBER(K300),IF(AND(K300=1,I300="No"),1,0),K300)</x:f>
      </x:c>
      <x:c r="M300" s="2" t="n">
        <x:f>IF(ISNUMBER(K300),1,0)</x:f>
        <x:v>0</x:v>
      </x:c>
    </x:row>
    <x:row r="301" ht="24" customHeight="1">
      <x:c r="A301" s="2" t="str">
        <x:v>S01.08</x:v>
      </x:c>
      <x:c r="B301" s="2" t="str">
        <x:v>S01</x:v>
      </x:c>
      <x:c r="C301" s="2" t="str">
        <x:v>gpt_connected</x:v>
      </x:c>
      <x:c r="D301" s="2" t="n">
        <x:v>1</x:v>
      </x:c>
      <x:c r="E301" s="8"/>
      <x:c r="F301" s="8"/>
      <x:c r="G301" s="9"/>
      <x:c r="H301" s="9"/>
      <x:c r="I301" s="8"/>
      <x:c r="J301" s="8"/>
      <x:c r="K301" s="2" t="str">
        <x:f>IF(OR(E301="",F301="",G301="",H301="",I301="",J301=""),"",IF(E301="Harness blocked","BLOCKED",IF(AND(E301="Present",F301="Supplied"),1,IF(OR(E301="Missing",E301="Not reached"),0,"CHECK"))))</x:f>
      </x:c>
      <x:c r="L301" s="2" t="str">
        <x:f>IF(ISNUMBER(K301),IF(AND(K301=1,I301="No"),1,0),K301)</x:f>
      </x:c>
      <x:c r="M301" s="2" t="n">
        <x:f>IF(ISNUMBER(K301),1,0)</x:f>
        <x:v>0</x:v>
      </x:c>
    </x:row>
    <x:row r="302" ht="24" customHeight="1">
      <x:c r="A302" s="2" t="str">
        <x:v>S02.01</x:v>
      </x:c>
      <x:c r="B302" s="2" t="str">
        <x:v>S02</x:v>
      </x:c>
      <x:c r="C302" s="2" t="str">
        <x:v>gpt_connected</x:v>
      </x:c>
      <x:c r="D302" s="2" t="n">
        <x:v>1</x:v>
      </x:c>
      <x:c r="E302" s="8"/>
      <x:c r="F302" s="8"/>
      <x:c r="G302" s="9"/>
      <x:c r="H302" s="9"/>
      <x:c r="I302" s="8"/>
      <x:c r="J302" s="8"/>
      <x:c r="K302" s="2" t="str">
        <x:f>IF(OR(E302="",F302="",G302="",H302="",I302="",J302=""),"",IF(E302="Harness blocked","BLOCKED",IF(AND(E302="Present",F302="Supplied"),1,IF(OR(E302="Missing",E302="Not reached"),0,"CHECK"))))</x:f>
      </x:c>
      <x:c r="L302" s="2" t="str">
        <x:f>IF(ISNUMBER(K302),IF(AND(K302=1,I302="No"),1,0),K302)</x:f>
      </x:c>
      <x:c r="M302" s="2" t="n">
        <x:f>IF(ISNUMBER(K302),1,0)</x:f>
        <x:v>0</x:v>
      </x:c>
    </x:row>
    <x:row r="303" ht="24" customHeight="1">
      <x:c r="A303" s="2" t="str">
        <x:v>S02.02</x:v>
      </x:c>
      <x:c r="B303" s="2" t="str">
        <x:v>S02</x:v>
      </x:c>
      <x:c r="C303" s="2" t="str">
        <x:v>gpt_connected</x:v>
      </x:c>
      <x:c r="D303" s="2" t="n">
        <x:v>1</x:v>
      </x:c>
      <x:c r="E303" s="8"/>
      <x:c r="F303" s="8"/>
      <x:c r="G303" s="9"/>
      <x:c r="H303" s="9"/>
      <x:c r="I303" s="8"/>
      <x:c r="J303" s="8"/>
      <x:c r="K303" s="2" t="str">
        <x:f>IF(OR(E303="",F303="",G303="",H303="",I303="",J303=""),"",IF(E303="Harness blocked","BLOCKED",IF(AND(E303="Present",F303="Supplied"),1,IF(OR(E303="Missing",E303="Not reached"),0,"CHECK"))))</x:f>
      </x:c>
      <x:c r="L303" s="2" t="str">
        <x:f>IF(ISNUMBER(K303),IF(AND(K303=1,I303="No"),1,0),K303)</x:f>
      </x:c>
      <x:c r="M303" s="2" t="n">
        <x:f>IF(ISNUMBER(K303),1,0)</x:f>
        <x:v>0</x:v>
      </x:c>
    </x:row>
    <x:row r="304" ht="24" customHeight="1">
      <x:c r="A304" s="2" t="str">
        <x:v>S02.03</x:v>
      </x:c>
      <x:c r="B304" s="2" t="str">
        <x:v>S02</x:v>
      </x:c>
      <x:c r="C304" s="2" t="str">
        <x:v>gpt_connected</x:v>
      </x:c>
      <x:c r="D304" s="2" t="n">
        <x:v>1</x:v>
      </x:c>
      <x:c r="E304" s="8"/>
      <x:c r="F304" s="8"/>
      <x:c r="G304" s="9"/>
      <x:c r="H304" s="9"/>
      <x:c r="I304" s="8"/>
      <x:c r="J304" s="8"/>
      <x:c r="K304" s="2" t="str">
        <x:f>IF(OR(E304="",F304="",G304="",H304="",I304="",J304=""),"",IF(E304="Harness blocked","BLOCKED",IF(AND(E304="Present",F304="Supplied"),1,IF(OR(E304="Missing",E304="Not reached"),0,"CHECK"))))</x:f>
      </x:c>
      <x:c r="L304" s="2" t="str">
        <x:f>IF(ISNUMBER(K304),IF(AND(K304=1,I304="No"),1,0),K304)</x:f>
      </x:c>
      <x:c r="M304" s="2" t="n">
        <x:f>IF(ISNUMBER(K304),1,0)</x:f>
        <x:v>0</x:v>
      </x:c>
    </x:row>
    <x:row r="305" ht="24" customHeight="1">
      <x:c r="A305" s="2" t="str">
        <x:v>S02.04</x:v>
      </x:c>
      <x:c r="B305" s="2" t="str">
        <x:v>S02</x:v>
      </x:c>
      <x:c r="C305" s="2" t="str">
        <x:v>gpt_connected</x:v>
      </x:c>
      <x:c r="D305" s="2" t="n">
        <x:v>1</x:v>
      </x:c>
      <x:c r="E305" s="8"/>
      <x:c r="F305" s="8"/>
      <x:c r="G305" s="9"/>
      <x:c r="H305" s="9"/>
      <x:c r="I305" s="8"/>
      <x:c r="J305" s="8"/>
      <x:c r="K305" s="2" t="str">
        <x:f>IF(OR(E305="",F305="",G305="",H305="",I305="",J305=""),"",IF(E305="Harness blocked","BLOCKED",IF(AND(E305="Present",F305="Supplied"),1,IF(OR(E305="Missing",E305="Not reached"),0,"CHECK"))))</x:f>
      </x:c>
      <x:c r="L305" s="2" t="str">
        <x:f>IF(ISNUMBER(K305),IF(AND(K305=1,I305="No"),1,0),K305)</x:f>
      </x:c>
      <x:c r="M305" s="2" t="n">
        <x:f>IF(ISNUMBER(K305),1,0)</x:f>
        <x:v>0</x:v>
      </x:c>
    </x:row>
    <x:row r="306" ht="24" customHeight="1">
      <x:c r="A306" s="2" t="str">
        <x:v>S02.05</x:v>
      </x:c>
      <x:c r="B306" s="2" t="str">
        <x:v>S02</x:v>
      </x:c>
      <x:c r="C306" s="2" t="str">
        <x:v>gpt_connected</x:v>
      </x:c>
      <x:c r="D306" s="2" t="n">
        <x:v>1</x:v>
      </x:c>
      <x:c r="E306" s="8"/>
      <x:c r="F306" s="8"/>
      <x:c r="G306" s="9"/>
      <x:c r="H306" s="9"/>
      <x:c r="I306" s="8"/>
      <x:c r="J306" s="8"/>
      <x:c r="K306" s="2" t="str">
        <x:f>IF(OR(E306="",F306="",G306="",H306="",I306="",J306=""),"",IF(E306="Harness blocked","BLOCKED",IF(AND(E306="Present",F306="Supplied"),1,IF(OR(E306="Missing",E306="Not reached"),0,"CHECK"))))</x:f>
      </x:c>
      <x:c r="L306" s="2" t="str">
        <x:f>IF(ISNUMBER(K306),IF(AND(K306=1,I306="No"),1,0),K306)</x:f>
      </x:c>
      <x:c r="M306" s="2" t="n">
        <x:f>IF(ISNUMBER(K306),1,0)</x:f>
        <x:v>0</x:v>
      </x:c>
    </x:row>
    <x:row r="307" ht="24" customHeight="1">
      <x:c r="A307" s="2" t="str">
        <x:v>S02.06</x:v>
      </x:c>
      <x:c r="B307" s="2" t="str">
        <x:v>S02</x:v>
      </x:c>
      <x:c r="C307" s="2" t="str">
        <x:v>gpt_connected</x:v>
      </x:c>
      <x:c r="D307" s="2" t="n">
        <x:v>1</x:v>
      </x:c>
      <x:c r="E307" s="8"/>
      <x:c r="F307" s="8"/>
      <x:c r="G307" s="9"/>
      <x:c r="H307" s="9"/>
      <x:c r="I307" s="8"/>
      <x:c r="J307" s="8"/>
      <x:c r="K307" s="2" t="str">
        <x:f>IF(OR(E307="",F307="",G307="",H307="",I307="",J307=""),"",IF(E307="Harness blocked","BLOCKED",IF(AND(E307="Present",F307="Supplied"),1,IF(OR(E307="Missing",E307="Not reached"),0,"CHECK"))))</x:f>
      </x:c>
      <x:c r="L307" s="2" t="str">
        <x:f>IF(ISNUMBER(K307),IF(AND(K307=1,I307="No"),1,0),K307)</x:f>
      </x:c>
      <x:c r="M307" s="2" t="n">
        <x:f>IF(ISNUMBER(K307),1,0)</x:f>
        <x:v>0</x:v>
      </x:c>
    </x:row>
    <x:row r="308" ht="24" customHeight="1">
      <x:c r="A308" s="2" t="str">
        <x:v>S02.07</x:v>
      </x:c>
      <x:c r="B308" s="2" t="str">
        <x:v>S02</x:v>
      </x:c>
      <x:c r="C308" s="2" t="str">
        <x:v>gpt_connected</x:v>
      </x:c>
      <x:c r="D308" s="2" t="n">
        <x:v>1</x:v>
      </x:c>
      <x:c r="E308" s="8"/>
      <x:c r="F308" s="8"/>
      <x:c r="G308" s="9"/>
      <x:c r="H308" s="9"/>
      <x:c r="I308" s="8"/>
      <x:c r="J308" s="8"/>
      <x:c r="K308" s="2" t="str">
        <x:f>IF(OR(E308="",F308="",G308="",H308="",I308="",J308=""),"",IF(E308="Harness blocked","BLOCKED",IF(AND(E308="Present",F308="Supplied"),1,IF(OR(E308="Missing",E308="Not reached"),0,"CHECK"))))</x:f>
      </x:c>
      <x:c r="L308" s="2" t="str">
        <x:f>IF(ISNUMBER(K308),IF(AND(K308=1,I308="No"),1,0),K308)</x:f>
      </x:c>
      <x:c r="M308" s="2" t="n">
        <x:f>IF(ISNUMBER(K308),1,0)</x:f>
        <x:v>0</x:v>
      </x:c>
    </x:row>
    <x:row r="309" ht="24" customHeight="1">
      <x:c r="A309" s="2" t="str">
        <x:v>S02.08</x:v>
      </x:c>
      <x:c r="B309" s="2" t="str">
        <x:v>S02</x:v>
      </x:c>
      <x:c r="C309" s="2" t="str">
        <x:v>gpt_connected</x:v>
      </x:c>
      <x:c r="D309" s="2" t="n">
        <x:v>1</x:v>
      </x:c>
      <x:c r="E309" s="8"/>
      <x:c r="F309" s="8"/>
      <x:c r="G309" s="9"/>
      <x:c r="H309" s="9"/>
      <x:c r="I309" s="8"/>
      <x:c r="J309" s="8"/>
      <x:c r="K309" s="2" t="str">
        <x:f>IF(OR(E309="",F309="",G309="",H309="",I309="",J309=""),"",IF(E309="Harness blocked","BLOCKED",IF(AND(E309="Present",F309="Supplied"),1,IF(OR(E309="Missing",E309="Not reached"),0,"CHECK"))))</x:f>
      </x:c>
      <x:c r="L309" s="2" t="str">
        <x:f>IF(ISNUMBER(K309),IF(AND(K309=1,I309="No"),1,0),K309)</x:f>
      </x:c>
      <x:c r="M309" s="2" t="n">
        <x:f>IF(ISNUMBER(K309),1,0)</x:f>
        <x:v>0</x:v>
      </x:c>
    </x:row>
    <x:row r="310" ht="24" customHeight="1">
      <x:c r="A310" s="2" t="str">
        <x:v>S03.01</x:v>
      </x:c>
      <x:c r="B310" s="2" t="str">
        <x:v>S03</x:v>
      </x:c>
      <x:c r="C310" s="2" t="str">
        <x:v>gpt_connected</x:v>
      </x:c>
      <x:c r="D310" s="2" t="n">
        <x:v>1</x:v>
      </x:c>
      <x:c r="E310" s="8"/>
      <x:c r="F310" s="8"/>
      <x:c r="G310" s="9"/>
      <x:c r="H310" s="9"/>
      <x:c r="I310" s="8"/>
      <x:c r="J310" s="8"/>
      <x:c r="K310" s="2" t="str">
        <x:f>IF(OR(E310="",F310="",G310="",H310="",I310="",J310=""),"",IF(E310="Harness blocked","BLOCKED",IF(AND(E310="Present",F310="Supplied"),1,IF(OR(E310="Missing",E310="Not reached"),0,"CHECK"))))</x:f>
      </x:c>
      <x:c r="L310" s="2" t="str">
        <x:f>IF(ISNUMBER(K310),IF(AND(K310=1,I310="No"),1,0),K310)</x:f>
      </x:c>
      <x:c r="M310" s="2" t="n">
        <x:f>IF(ISNUMBER(K310),1,0)</x:f>
        <x:v>0</x:v>
      </x:c>
    </x:row>
    <x:row r="311" ht="24" customHeight="1">
      <x:c r="A311" s="2" t="str">
        <x:v>S03.02</x:v>
      </x:c>
      <x:c r="B311" s="2" t="str">
        <x:v>S03</x:v>
      </x:c>
      <x:c r="C311" s="2" t="str">
        <x:v>gpt_connected</x:v>
      </x:c>
      <x:c r="D311" s="2" t="n">
        <x:v>1</x:v>
      </x:c>
      <x:c r="E311" s="8"/>
      <x:c r="F311" s="8"/>
      <x:c r="G311" s="9"/>
      <x:c r="H311" s="9"/>
      <x:c r="I311" s="8"/>
      <x:c r="J311" s="8"/>
      <x:c r="K311" s="2" t="str">
        <x:f>IF(OR(E311="",F311="",G311="",H311="",I311="",J311=""),"",IF(E311="Harness blocked","BLOCKED",IF(AND(E311="Present",F311="Supplied"),1,IF(OR(E311="Missing",E311="Not reached"),0,"CHECK"))))</x:f>
      </x:c>
      <x:c r="L311" s="2" t="str">
        <x:f>IF(ISNUMBER(K311),IF(AND(K311=1,I311="No"),1,0),K311)</x:f>
      </x:c>
      <x:c r="M311" s="2" t="n">
        <x:f>IF(ISNUMBER(K311),1,0)</x:f>
        <x:v>0</x:v>
      </x:c>
    </x:row>
    <x:row r="312" ht="24" customHeight="1">
      <x:c r="A312" s="2" t="str">
        <x:v>S03.03</x:v>
      </x:c>
      <x:c r="B312" s="2" t="str">
        <x:v>S03</x:v>
      </x:c>
      <x:c r="C312" s="2" t="str">
        <x:v>gpt_connected</x:v>
      </x:c>
      <x:c r="D312" s="2" t="n">
        <x:v>1</x:v>
      </x:c>
      <x:c r="E312" s="8"/>
      <x:c r="F312" s="8"/>
      <x:c r="G312" s="9"/>
      <x:c r="H312" s="9"/>
      <x:c r="I312" s="8"/>
      <x:c r="J312" s="8"/>
      <x:c r="K312" s="2" t="str">
        <x:f>IF(OR(E312="",F312="",G312="",H312="",I312="",J312=""),"",IF(E312="Harness blocked","BLOCKED",IF(AND(E312="Present",F312="Supplied"),1,IF(OR(E312="Missing",E312="Not reached"),0,"CHECK"))))</x:f>
      </x:c>
      <x:c r="L312" s="2" t="str">
        <x:f>IF(ISNUMBER(K312),IF(AND(K312=1,I312="No"),1,0),K312)</x:f>
      </x:c>
      <x:c r="M312" s="2" t="n">
        <x:f>IF(ISNUMBER(K312),1,0)</x:f>
        <x:v>0</x:v>
      </x:c>
    </x:row>
    <x:row r="313" ht="24" customHeight="1">
      <x:c r="A313" s="2" t="str">
        <x:v>S03.04</x:v>
      </x:c>
      <x:c r="B313" s="2" t="str">
        <x:v>S03</x:v>
      </x:c>
      <x:c r="C313" s="2" t="str">
        <x:v>gpt_connected</x:v>
      </x:c>
      <x:c r="D313" s="2" t="n">
        <x:v>1</x:v>
      </x:c>
      <x:c r="E313" s="8"/>
      <x:c r="F313" s="8"/>
      <x:c r="G313" s="9"/>
      <x:c r="H313" s="9"/>
      <x:c r="I313" s="8"/>
      <x:c r="J313" s="8"/>
      <x:c r="K313" s="2" t="str">
        <x:f>IF(OR(E313="",F313="",G313="",H313="",I313="",J313=""),"",IF(E313="Harness blocked","BLOCKED",IF(AND(E313="Present",F313="Supplied"),1,IF(OR(E313="Missing",E313="Not reached"),0,"CHECK"))))</x:f>
      </x:c>
      <x:c r="L313" s="2" t="str">
        <x:f>IF(ISNUMBER(K313),IF(AND(K313=1,I313="No"),1,0),K313)</x:f>
      </x:c>
      <x:c r="M313" s="2" t="n">
        <x:f>IF(ISNUMBER(K313),1,0)</x:f>
        <x:v>0</x:v>
      </x:c>
    </x:row>
    <x:row r="314" ht="24" customHeight="1">
      <x:c r="A314" s="2" t="str">
        <x:v>S03.05</x:v>
      </x:c>
      <x:c r="B314" s="2" t="str">
        <x:v>S03</x:v>
      </x:c>
      <x:c r="C314" s="2" t="str">
        <x:v>gpt_connected</x:v>
      </x:c>
      <x:c r="D314" s="2" t="n">
        <x:v>1</x:v>
      </x:c>
      <x:c r="E314" s="8"/>
      <x:c r="F314" s="8"/>
      <x:c r="G314" s="9"/>
      <x:c r="H314" s="9"/>
      <x:c r="I314" s="8"/>
      <x:c r="J314" s="8"/>
      <x:c r="K314" s="2" t="str">
        <x:f>IF(OR(E314="",F314="",G314="",H314="",I314="",J314=""),"",IF(E314="Harness blocked","BLOCKED",IF(AND(E314="Present",F314="Supplied"),1,IF(OR(E314="Missing",E314="Not reached"),0,"CHECK"))))</x:f>
      </x:c>
      <x:c r="L314" s="2" t="str">
        <x:f>IF(ISNUMBER(K314),IF(AND(K314=1,I314="No"),1,0),K314)</x:f>
      </x:c>
      <x:c r="M314" s="2" t="n">
        <x:f>IF(ISNUMBER(K314),1,0)</x:f>
        <x:v>0</x:v>
      </x:c>
    </x:row>
    <x:row r="315" ht="24" customHeight="1">
      <x:c r="A315" s="2" t="str">
        <x:v>S03.06</x:v>
      </x:c>
      <x:c r="B315" s="2" t="str">
        <x:v>S03</x:v>
      </x:c>
      <x:c r="C315" s="2" t="str">
        <x:v>gpt_connected</x:v>
      </x:c>
      <x:c r="D315" s="2" t="n">
        <x:v>1</x:v>
      </x:c>
      <x:c r="E315" s="8"/>
      <x:c r="F315" s="8"/>
      <x:c r="G315" s="9"/>
      <x:c r="H315" s="9"/>
      <x:c r="I315" s="8"/>
      <x:c r="J315" s="8"/>
      <x:c r="K315" s="2" t="str">
        <x:f>IF(OR(E315="",F315="",G315="",H315="",I315="",J315=""),"",IF(E315="Harness blocked","BLOCKED",IF(AND(E315="Present",F315="Supplied"),1,IF(OR(E315="Missing",E315="Not reached"),0,"CHECK"))))</x:f>
      </x:c>
      <x:c r="L315" s="2" t="str">
        <x:f>IF(ISNUMBER(K315),IF(AND(K315=1,I315="No"),1,0),K315)</x:f>
      </x:c>
      <x:c r="M315" s="2" t="n">
        <x:f>IF(ISNUMBER(K315),1,0)</x:f>
        <x:v>0</x:v>
      </x:c>
    </x:row>
    <x:row r="316" ht="24" customHeight="1">
      <x:c r="A316" s="2" t="str">
        <x:v>S03.07</x:v>
      </x:c>
      <x:c r="B316" s="2" t="str">
        <x:v>S03</x:v>
      </x:c>
      <x:c r="C316" s="2" t="str">
        <x:v>gpt_connected</x:v>
      </x:c>
      <x:c r="D316" s="2" t="n">
        <x:v>1</x:v>
      </x:c>
      <x:c r="E316" s="8"/>
      <x:c r="F316" s="8"/>
      <x:c r="G316" s="9"/>
      <x:c r="H316" s="9"/>
      <x:c r="I316" s="8"/>
      <x:c r="J316" s="8"/>
      <x:c r="K316" s="2" t="str">
        <x:f>IF(OR(E316="",F316="",G316="",H316="",I316="",J316=""),"",IF(E316="Harness blocked","BLOCKED",IF(AND(E316="Present",F316="Supplied"),1,IF(OR(E316="Missing",E316="Not reached"),0,"CHECK"))))</x:f>
      </x:c>
      <x:c r="L316" s="2" t="str">
        <x:f>IF(ISNUMBER(K316),IF(AND(K316=1,I316="No"),1,0),K316)</x:f>
      </x:c>
      <x:c r="M316" s="2" t="n">
        <x:f>IF(ISNUMBER(K316),1,0)</x:f>
        <x:v>0</x:v>
      </x:c>
    </x:row>
    <x:row r="317" ht="24" customHeight="1">
      <x:c r="A317" s="2" t="str">
        <x:v>S03.08</x:v>
      </x:c>
      <x:c r="B317" s="2" t="str">
        <x:v>S03</x:v>
      </x:c>
      <x:c r="C317" s="2" t="str">
        <x:v>gpt_connected</x:v>
      </x:c>
      <x:c r="D317" s="2" t="n">
        <x:v>1</x:v>
      </x:c>
      <x:c r="E317" s="8"/>
      <x:c r="F317" s="8"/>
      <x:c r="G317" s="9"/>
      <x:c r="H317" s="9"/>
      <x:c r="I317" s="8"/>
      <x:c r="J317" s="8"/>
      <x:c r="K317" s="2" t="str">
        <x:f>IF(OR(E317="",F317="",G317="",H317="",I317="",J317=""),"",IF(E317="Harness blocked","BLOCKED",IF(AND(E317="Present",F317="Supplied"),1,IF(OR(E317="Missing",E317="Not reached"),0,"CHECK"))))</x:f>
      </x:c>
      <x:c r="L317" s="2" t="str">
        <x:f>IF(ISNUMBER(K317),IF(AND(K317=1,I317="No"),1,0),K317)</x:f>
      </x:c>
      <x:c r="M317" s="2" t="n">
        <x:f>IF(ISNUMBER(K317),1,0)</x:f>
        <x:v>0</x:v>
      </x:c>
    </x:row>
    <x:row r="318" ht="24" customHeight="1">
      <x:c r="A318" s="2" t="str">
        <x:v>S04.01</x:v>
      </x:c>
      <x:c r="B318" s="2" t="str">
        <x:v>S04</x:v>
      </x:c>
      <x:c r="C318" s="2" t="str">
        <x:v>gpt_connected</x:v>
      </x:c>
      <x:c r="D318" s="2" t="n">
        <x:v>1</x:v>
      </x:c>
      <x:c r="E318" s="8"/>
      <x:c r="F318" s="8"/>
      <x:c r="G318" s="9"/>
      <x:c r="H318" s="9"/>
      <x:c r="I318" s="8"/>
      <x:c r="J318" s="8"/>
      <x:c r="K318" s="2" t="str">
        <x:f>IF(OR(E318="",F318="",G318="",H318="",I318="",J318=""),"",IF(E318="Harness blocked","BLOCKED",IF(AND(E318="Present",F318="Supplied"),1,IF(OR(E318="Missing",E318="Not reached"),0,"CHECK"))))</x:f>
      </x:c>
      <x:c r="L318" s="2" t="str">
        <x:f>IF(ISNUMBER(K318),IF(AND(K318=1,I318="No"),1,0),K318)</x:f>
      </x:c>
      <x:c r="M318" s="2" t="n">
        <x:f>IF(ISNUMBER(K318),1,0)</x:f>
        <x:v>0</x:v>
      </x:c>
    </x:row>
    <x:row r="319" ht="24" customHeight="1">
      <x:c r="A319" s="2" t="str">
        <x:v>S04.02</x:v>
      </x:c>
      <x:c r="B319" s="2" t="str">
        <x:v>S04</x:v>
      </x:c>
      <x:c r="C319" s="2" t="str">
        <x:v>gpt_connected</x:v>
      </x:c>
      <x:c r="D319" s="2" t="n">
        <x:v>1</x:v>
      </x:c>
      <x:c r="E319" s="8"/>
      <x:c r="F319" s="8"/>
      <x:c r="G319" s="9"/>
      <x:c r="H319" s="9"/>
      <x:c r="I319" s="8"/>
      <x:c r="J319" s="8"/>
      <x:c r="K319" s="2" t="str">
        <x:f>IF(OR(E319="",F319="",G319="",H319="",I319="",J319=""),"",IF(E319="Harness blocked","BLOCKED",IF(AND(E319="Present",F319="Supplied"),1,IF(OR(E319="Missing",E319="Not reached"),0,"CHECK"))))</x:f>
      </x:c>
      <x:c r="L319" s="2" t="str">
        <x:f>IF(ISNUMBER(K319),IF(AND(K319=1,I319="No"),1,0),K319)</x:f>
      </x:c>
      <x:c r="M319" s="2" t="n">
        <x:f>IF(ISNUMBER(K319),1,0)</x:f>
        <x:v>0</x:v>
      </x:c>
    </x:row>
    <x:row r="320" ht="24" customHeight="1">
      <x:c r="A320" s="2" t="str">
        <x:v>S04.03</x:v>
      </x:c>
      <x:c r="B320" s="2" t="str">
        <x:v>S04</x:v>
      </x:c>
      <x:c r="C320" s="2" t="str">
        <x:v>gpt_connected</x:v>
      </x:c>
      <x:c r="D320" s="2" t="n">
        <x:v>1</x:v>
      </x:c>
      <x:c r="E320" s="8"/>
      <x:c r="F320" s="8"/>
      <x:c r="G320" s="9"/>
      <x:c r="H320" s="9"/>
      <x:c r="I320" s="8"/>
      <x:c r="J320" s="8"/>
      <x:c r="K320" s="2" t="str">
        <x:f>IF(OR(E320="",F320="",G320="",H320="",I320="",J320=""),"",IF(E320="Harness blocked","BLOCKED",IF(AND(E320="Present",F320="Supplied"),1,IF(OR(E320="Missing",E320="Not reached"),0,"CHECK"))))</x:f>
      </x:c>
      <x:c r="L320" s="2" t="str">
        <x:f>IF(ISNUMBER(K320),IF(AND(K320=1,I320="No"),1,0),K320)</x:f>
      </x:c>
      <x:c r="M320" s="2" t="n">
        <x:f>IF(ISNUMBER(K320),1,0)</x:f>
        <x:v>0</x:v>
      </x:c>
    </x:row>
    <x:row r="321" ht="24" customHeight="1">
      <x:c r="A321" s="2" t="str">
        <x:v>S04.04</x:v>
      </x:c>
      <x:c r="B321" s="2" t="str">
        <x:v>S04</x:v>
      </x:c>
      <x:c r="C321" s="2" t="str">
        <x:v>gpt_connected</x:v>
      </x:c>
      <x:c r="D321" s="2" t="n">
        <x:v>1</x:v>
      </x:c>
      <x:c r="E321" s="8"/>
      <x:c r="F321" s="8"/>
      <x:c r="G321" s="9"/>
      <x:c r="H321" s="9"/>
      <x:c r="I321" s="8"/>
      <x:c r="J321" s="8"/>
      <x:c r="K321" s="2" t="str">
        <x:f>IF(OR(E321="",F321="",G321="",H321="",I321="",J321=""),"",IF(E321="Harness blocked","BLOCKED",IF(AND(E321="Present",F321="Supplied"),1,IF(OR(E321="Missing",E321="Not reached"),0,"CHECK"))))</x:f>
      </x:c>
      <x:c r="L321" s="2" t="str">
        <x:f>IF(ISNUMBER(K321),IF(AND(K321=1,I321="No"),1,0),K321)</x:f>
      </x:c>
      <x:c r="M321" s="2" t="n">
        <x:f>IF(ISNUMBER(K321),1,0)</x:f>
        <x:v>0</x:v>
      </x:c>
    </x:row>
    <x:row r="322" ht="24" customHeight="1">
      <x:c r="A322" s="2" t="str">
        <x:v>S04.05</x:v>
      </x:c>
      <x:c r="B322" s="2" t="str">
        <x:v>S04</x:v>
      </x:c>
      <x:c r="C322" s="2" t="str">
        <x:v>gpt_connected</x:v>
      </x:c>
      <x:c r="D322" s="2" t="n">
        <x:v>1</x:v>
      </x:c>
      <x:c r="E322" s="8"/>
      <x:c r="F322" s="8"/>
      <x:c r="G322" s="9"/>
      <x:c r="H322" s="9"/>
      <x:c r="I322" s="8"/>
      <x:c r="J322" s="8"/>
      <x:c r="K322" s="2" t="str">
        <x:f>IF(OR(E322="",F322="",G322="",H322="",I322="",J322=""),"",IF(E322="Harness blocked","BLOCKED",IF(AND(E322="Present",F322="Supplied"),1,IF(OR(E322="Missing",E322="Not reached"),0,"CHECK"))))</x:f>
      </x:c>
      <x:c r="L322" s="2" t="str">
        <x:f>IF(ISNUMBER(K322),IF(AND(K322=1,I322="No"),1,0),K322)</x:f>
      </x:c>
      <x:c r="M322" s="2" t="n">
        <x:f>IF(ISNUMBER(K322),1,0)</x:f>
        <x:v>0</x:v>
      </x:c>
    </x:row>
    <x:row r="323" ht="24" customHeight="1">
      <x:c r="A323" s="2" t="str">
        <x:v>S04.06</x:v>
      </x:c>
      <x:c r="B323" s="2" t="str">
        <x:v>S04</x:v>
      </x:c>
      <x:c r="C323" s="2" t="str">
        <x:v>gpt_connected</x:v>
      </x:c>
      <x:c r="D323" s="2" t="n">
        <x:v>1</x:v>
      </x:c>
      <x:c r="E323" s="8"/>
      <x:c r="F323" s="8"/>
      <x:c r="G323" s="9"/>
      <x:c r="H323" s="9"/>
      <x:c r="I323" s="8"/>
      <x:c r="J323" s="8"/>
      <x:c r="K323" s="2" t="str">
        <x:f>IF(OR(E323="",F323="",G323="",H323="",I323="",J323=""),"",IF(E323="Harness blocked","BLOCKED",IF(AND(E323="Present",F323="Supplied"),1,IF(OR(E323="Missing",E323="Not reached"),0,"CHECK"))))</x:f>
      </x:c>
      <x:c r="L323" s="2" t="str">
        <x:f>IF(ISNUMBER(K323),IF(AND(K323=1,I323="No"),1,0),K323)</x:f>
      </x:c>
      <x:c r="M323" s="2" t="n">
        <x:f>IF(ISNUMBER(K323),1,0)</x:f>
        <x:v>0</x:v>
      </x:c>
    </x:row>
    <x:row r="324" ht="24" customHeight="1">
      <x:c r="A324" s="2" t="str">
        <x:v>S04.07</x:v>
      </x:c>
      <x:c r="B324" s="2" t="str">
        <x:v>S04</x:v>
      </x:c>
      <x:c r="C324" s="2" t="str">
        <x:v>gpt_connected</x:v>
      </x:c>
      <x:c r="D324" s="2" t="n">
        <x:v>1</x:v>
      </x:c>
      <x:c r="E324" s="8"/>
      <x:c r="F324" s="8"/>
      <x:c r="G324" s="9"/>
      <x:c r="H324" s="9"/>
      <x:c r="I324" s="8"/>
      <x:c r="J324" s="8"/>
      <x:c r="K324" s="2" t="str">
        <x:f>IF(OR(E324="",F324="",G324="",H324="",I324="",J324=""),"",IF(E324="Harness blocked","BLOCKED",IF(AND(E324="Present",F324="Supplied"),1,IF(OR(E324="Missing",E324="Not reached"),0,"CHECK"))))</x:f>
      </x:c>
      <x:c r="L324" s="2" t="str">
        <x:f>IF(ISNUMBER(K324),IF(AND(K324=1,I324="No"),1,0),K324)</x:f>
      </x:c>
      <x:c r="M324" s="2" t="n">
        <x:f>IF(ISNUMBER(K324),1,0)</x:f>
        <x:v>0</x:v>
      </x:c>
    </x:row>
    <x:row r="325" ht="24" customHeight="1">
      <x:c r="A325" s="2" t="str">
        <x:v>S04.08</x:v>
      </x:c>
      <x:c r="B325" s="2" t="str">
        <x:v>S04</x:v>
      </x:c>
      <x:c r="C325" s="2" t="str">
        <x:v>gpt_connected</x:v>
      </x:c>
      <x:c r="D325" s="2" t="n">
        <x:v>1</x:v>
      </x:c>
      <x:c r="E325" s="8"/>
      <x:c r="F325" s="8"/>
      <x:c r="G325" s="9"/>
      <x:c r="H325" s="9"/>
      <x:c r="I325" s="8"/>
      <x:c r="J325" s="8"/>
      <x:c r="K325" s="2" t="str">
        <x:f>IF(OR(E325="",F325="",G325="",H325="",I325="",J325=""),"",IF(E325="Harness blocked","BLOCKED",IF(AND(E325="Present",F325="Supplied"),1,IF(OR(E325="Missing",E325="Not reached"),0,"CHECK"))))</x:f>
      </x:c>
      <x:c r="L325" s="2" t="str">
        <x:f>IF(ISNUMBER(K325),IF(AND(K325=1,I325="No"),1,0),K325)</x:f>
      </x:c>
      <x:c r="M325" s="2" t="n">
        <x:f>IF(ISNUMBER(K325),1,0)</x:f>
        <x:v>0</x:v>
      </x:c>
    </x:row>
    <x:row r="326" ht="24" customHeight="1">
      <x:c r="A326" s="2" t="str">
        <x:v>S05.01</x:v>
      </x:c>
      <x:c r="B326" s="2" t="str">
        <x:v>S05</x:v>
      </x:c>
      <x:c r="C326" s="2" t="str">
        <x:v>gpt_connected</x:v>
      </x:c>
      <x:c r="D326" s="2" t="n">
        <x:v>1</x:v>
      </x:c>
      <x:c r="E326" s="8"/>
      <x:c r="F326" s="8"/>
      <x:c r="G326" s="9"/>
      <x:c r="H326" s="9"/>
      <x:c r="I326" s="8"/>
      <x:c r="J326" s="8"/>
      <x:c r="K326" s="2" t="str">
        <x:f>IF(OR(E326="",F326="",G326="",H326="",I326="",J326=""),"",IF(E326="Harness blocked","BLOCKED",IF(AND(E326="Present",F326="Supplied"),1,IF(OR(E326="Missing",E326="Not reached"),0,"CHECK"))))</x:f>
      </x:c>
      <x:c r="L326" s="2" t="str">
        <x:f>IF(ISNUMBER(K326),IF(AND(K326=1,I326="No"),1,0),K326)</x:f>
      </x:c>
      <x:c r="M326" s="2" t="n">
        <x:f>IF(ISNUMBER(K326),1,0)</x:f>
        <x:v>0</x:v>
      </x:c>
    </x:row>
    <x:row r="327" ht="24" customHeight="1">
      <x:c r="A327" s="2" t="str">
        <x:v>S05.02</x:v>
      </x:c>
      <x:c r="B327" s="2" t="str">
        <x:v>S05</x:v>
      </x:c>
      <x:c r="C327" s="2" t="str">
        <x:v>gpt_connected</x:v>
      </x:c>
      <x:c r="D327" s="2" t="n">
        <x:v>1</x:v>
      </x:c>
      <x:c r="E327" s="8"/>
      <x:c r="F327" s="8"/>
      <x:c r="G327" s="9"/>
      <x:c r="H327" s="9"/>
      <x:c r="I327" s="8"/>
      <x:c r="J327" s="8"/>
      <x:c r="K327" s="2" t="str">
        <x:f>IF(OR(E327="",F327="",G327="",H327="",I327="",J327=""),"",IF(E327="Harness blocked","BLOCKED",IF(AND(E327="Present",F327="Supplied"),1,IF(OR(E327="Missing",E327="Not reached"),0,"CHECK"))))</x:f>
      </x:c>
      <x:c r="L327" s="2" t="str">
        <x:f>IF(ISNUMBER(K327),IF(AND(K327=1,I327="No"),1,0),K327)</x:f>
      </x:c>
      <x:c r="M327" s="2" t="n">
        <x:f>IF(ISNUMBER(K327),1,0)</x:f>
        <x:v>0</x:v>
      </x:c>
    </x:row>
    <x:row r="328" ht="24" customHeight="1">
      <x:c r="A328" s="2" t="str">
        <x:v>S05.03</x:v>
      </x:c>
      <x:c r="B328" s="2" t="str">
        <x:v>S05</x:v>
      </x:c>
      <x:c r="C328" s="2" t="str">
        <x:v>gpt_connected</x:v>
      </x:c>
      <x:c r="D328" s="2" t="n">
        <x:v>1</x:v>
      </x:c>
      <x:c r="E328" s="8"/>
      <x:c r="F328" s="8"/>
      <x:c r="G328" s="9"/>
      <x:c r="H328" s="9"/>
      <x:c r="I328" s="8"/>
      <x:c r="J328" s="8"/>
      <x:c r="K328" s="2" t="str">
        <x:f>IF(OR(E328="",F328="",G328="",H328="",I328="",J328=""),"",IF(E328="Harness blocked","BLOCKED",IF(AND(E328="Present",F328="Supplied"),1,IF(OR(E328="Missing",E328="Not reached"),0,"CHECK"))))</x:f>
      </x:c>
      <x:c r="L328" s="2" t="str">
        <x:f>IF(ISNUMBER(K328),IF(AND(K328=1,I328="No"),1,0),K328)</x:f>
      </x:c>
      <x:c r="M328" s="2" t="n">
        <x:f>IF(ISNUMBER(K328),1,0)</x:f>
        <x:v>0</x:v>
      </x:c>
    </x:row>
    <x:row r="329" ht="24" customHeight="1">
      <x:c r="A329" s="2" t="str">
        <x:v>S05.04</x:v>
      </x:c>
      <x:c r="B329" s="2" t="str">
        <x:v>S05</x:v>
      </x:c>
      <x:c r="C329" s="2" t="str">
        <x:v>gpt_connected</x:v>
      </x:c>
      <x:c r="D329" s="2" t="n">
        <x:v>1</x:v>
      </x:c>
      <x:c r="E329" s="8"/>
      <x:c r="F329" s="8"/>
      <x:c r="G329" s="9"/>
      <x:c r="H329" s="9"/>
      <x:c r="I329" s="8"/>
      <x:c r="J329" s="8"/>
      <x:c r="K329" s="2" t="str">
        <x:f>IF(OR(E329="",F329="",G329="",H329="",I329="",J329=""),"",IF(E329="Harness blocked","BLOCKED",IF(AND(E329="Present",F329="Supplied"),1,IF(OR(E329="Missing",E329="Not reached"),0,"CHECK"))))</x:f>
      </x:c>
      <x:c r="L329" s="2" t="str">
        <x:f>IF(ISNUMBER(K329),IF(AND(K329=1,I329="No"),1,0),K329)</x:f>
      </x:c>
      <x:c r="M329" s="2" t="n">
        <x:f>IF(ISNUMBER(K329),1,0)</x:f>
        <x:v>0</x:v>
      </x:c>
    </x:row>
    <x:row r="330" ht="24" customHeight="1">
      <x:c r="A330" s="2" t="str">
        <x:v>S05.05</x:v>
      </x:c>
      <x:c r="B330" s="2" t="str">
        <x:v>S05</x:v>
      </x:c>
      <x:c r="C330" s="2" t="str">
        <x:v>gpt_connected</x:v>
      </x:c>
      <x:c r="D330" s="2" t="n">
        <x:v>1</x:v>
      </x:c>
      <x:c r="E330" s="8"/>
      <x:c r="F330" s="8"/>
      <x:c r="G330" s="9"/>
      <x:c r="H330" s="9"/>
      <x:c r="I330" s="8"/>
      <x:c r="J330" s="8"/>
      <x:c r="K330" s="2" t="str">
        <x:f>IF(OR(E330="",F330="",G330="",H330="",I330="",J330=""),"",IF(E330="Harness blocked","BLOCKED",IF(AND(E330="Present",F330="Supplied"),1,IF(OR(E330="Missing",E330="Not reached"),0,"CHECK"))))</x:f>
      </x:c>
      <x:c r="L330" s="2" t="str">
        <x:f>IF(ISNUMBER(K330),IF(AND(K330=1,I330="No"),1,0),K330)</x:f>
      </x:c>
      <x:c r="M330" s="2" t="n">
        <x:f>IF(ISNUMBER(K330),1,0)</x:f>
        <x:v>0</x:v>
      </x:c>
    </x:row>
    <x:row r="331" ht="24" customHeight="1">
      <x:c r="A331" s="2" t="str">
        <x:v>S05.06</x:v>
      </x:c>
      <x:c r="B331" s="2" t="str">
        <x:v>S05</x:v>
      </x:c>
      <x:c r="C331" s="2" t="str">
        <x:v>gpt_connected</x:v>
      </x:c>
      <x:c r="D331" s="2" t="n">
        <x:v>1</x:v>
      </x:c>
      <x:c r="E331" s="8"/>
      <x:c r="F331" s="8"/>
      <x:c r="G331" s="9"/>
      <x:c r="H331" s="9"/>
      <x:c r="I331" s="8"/>
      <x:c r="J331" s="8"/>
      <x:c r="K331" s="2" t="str">
        <x:f>IF(OR(E331="",F331="",G331="",H331="",I331="",J331=""),"",IF(E331="Harness blocked","BLOCKED",IF(AND(E331="Present",F331="Supplied"),1,IF(OR(E331="Missing",E331="Not reached"),0,"CHECK"))))</x:f>
      </x:c>
      <x:c r="L331" s="2" t="str">
        <x:f>IF(ISNUMBER(K331),IF(AND(K331=1,I331="No"),1,0),K331)</x:f>
      </x:c>
      <x:c r="M331" s="2" t="n">
        <x:f>IF(ISNUMBER(K331),1,0)</x:f>
        <x:v>0</x:v>
      </x:c>
    </x:row>
    <x:row r="332" ht="24" customHeight="1">
      <x:c r="A332" s="2" t="str">
        <x:v>S05.07</x:v>
      </x:c>
      <x:c r="B332" s="2" t="str">
        <x:v>S05</x:v>
      </x:c>
      <x:c r="C332" s="2" t="str">
        <x:v>gpt_connected</x:v>
      </x:c>
      <x:c r="D332" s="2" t="n">
        <x:v>1</x:v>
      </x:c>
      <x:c r="E332" s="8"/>
      <x:c r="F332" s="8"/>
      <x:c r="G332" s="9"/>
      <x:c r="H332" s="9"/>
      <x:c r="I332" s="8"/>
      <x:c r="J332" s="8"/>
      <x:c r="K332" s="2" t="str">
        <x:f>IF(OR(E332="",F332="",G332="",H332="",I332="",J332=""),"",IF(E332="Harness blocked","BLOCKED",IF(AND(E332="Present",F332="Supplied"),1,IF(OR(E332="Missing",E332="Not reached"),0,"CHECK"))))</x:f>
      </x:c>
      <x:c r="L332" s="2" t="str">
        <x:f>IF(ISNUMBER(K332),IF(AND(K332=1,I332="No"),1,0),K332)</x:f>
      </x:c>
      <x:c r="M332" s="2" t="n">
        <x:f>IF(ISNUMBER(K332),1,0)</x:f>
        <x:v>0</x:v>
      </x:c>
    </x:row>
    <x:row r="333" ht="24" customHeight="1">
      <x:c r="A333" s="2" t="str">
        <x:v>S05.08</x:v>
      </x:c>
      <x:c r="B333" s="2" t="str">
        <x:v>S05</x:v>
      </x:c>
      <x:c r="C333" s="2" t="str">
        <x:v>gpt_connected</x:v>
      </x:c>
      <x:c r="D333" s="2" t="n">
        <x:v>1</x:v>
      </x:c>
      <x:c r="E333" s="8"/>
      <x:c r="F333" s="8"/>
      <x:c r="G333" s="9"/>
      <x:c r="H333" s="9"/>
      <x:c r="I333" s="8"/>
      <x:c r="J333" s="8"/>
      <x:c r="K333" s="2" t="str">
        <x:f>IF(OR(E333="",F333="",G333="",H333="",I333="",J333=""),"",IF(E333="Harness blocked","BLOCKED",IF(AND(E333="Present",F333="Supplied"),1,IF(OR(E333="Missing",E333="Not reached"),0,"CHECK"))))</x:f>
      </x:c>
      <x:c r="L333" s="2" t="str">
        <x:f>IF(ISNUMBER(K333),IF(AND(K333=1,I333="No"),1,0),K333)</x:f>
      </x:c>
      <x:c r="M333" s="2" t="n">
        <x:f>IF(ISNUMBER(K333),1,0)</x:f>
        <x:v>0</x:v>
      </x:c>
    </x:row>
    <x:row r="334" ht="24" customHeight="1">
      <x:c r="A334" s="2" t="str">
        <x:v>S06.01</x:v>
      </x:c>
      <x:c r="B334" s="2" t="str">
        <x:v>S06</x:v>
      </x:c>
      <x:c r="C334" s="2" t="str">
        <x:v>gpt_connected</x:v>
      </x:c>
      <x:c r="D334" s="2" t="n">
        <x:v>1</x:v>
      </x:c>
      <x:c r="E334" s="8"/>
      <x:c r="F334" s="8"/>
      <x:c r="G334" s="9"/>
      <x:c r="H334" s="9"/>
      <x:c r="I334" s="8"/>
      <x:c r="J334" s="8"/>
      <x:c r="K334" s="2" t="str">
        <x:f>IF(OR(E334="",F334="",G334="",H334="",I334="",J334=""),"",IF(E334="Harness blocked","BLOCKED",IF(AND(E334="Present",F334="Supplied"),1,IF(OR(E334="Missing",E334="Not reached"),0,"CHECK"))))</x:f>
      </x:c>
      <x:c r="L334" s="2" t="str">
        <x:f>IF(ISNUMBER(K334),IF(AND(K334=1,I334="No"),1,0),K334)</x:f>
      </x:c>
      <x:c r="M334" s="2" t="n">
        <x:f>IF(ISNUMBER(K334),1,0)</x:f>
        <x:v>0</x:v>
      </x:c>
    </x:row>
    <x:row r="335" ht="24" customHeight="1">
      <x:c r="A335" s="2" t="str">
        <x:v>S06.02</x:v>
      </x:c>
      <x:c r="B335" s="2" t="str">
        <x:v>S06</x:v>
      </x:c>
      <x:c r="C335" s="2" t="str">
        <x:v>gpt_connected</x:v>
      </x:c>
      <x:c r="D335" s="2" t="n">
        <x:v>1</x:v>
      </x:c>
      <x:c r="E335" s="8"/>
      <x:c r="F335" s="8"/>
      <x:c r="G335" s="9"/>
      <x:c r="H335" s="9"/>
      <x:c r="I335" s="8"/>
      <x:c r="J335" s="8"/>
      <x:c r="K335" s="2" t="str">
        <x:f>IF(OR(E335="",F335="",G335="",H335="",I335="",J335=""),"",IF(E335="Harness blocked","BLOCKED",IF(AND(E335="Present",F335="Supplied"),1,IF(OR(E335="Missing",E335="Not reached"),0,"CHECK"))))</x:f>
      </x:c>
      <x:c r="L335" s="2" t="str">
        <x:f>IF(ISNUMBER(K335),IF(AND(K335=1,I335="No"),1,0),K335)</x:f>
      </x:c>
      <x:c r="M335" s="2" t="n">
        <x:f>IF(ISNUMBER(K335),1,0)</x:f>
        <x:v>0</x:v>
      </x:c>
    </x:row>
    <x:row r="336" ht="24" customHeight="1">
      <x:c r="A336" s="2" t="str">
        <x:v>S06.03</x:v>
      </x:c>
      <x:c r="B336" s="2" t="str">
        <x:v>S06</x:v>
      </x:c>
      <x:c r="C336" s="2" t="str">
        <x:v>gpt_connected</x:v>
      </x:c>
      <x:c r="D336" s="2" t="n">
        <x:v>1</x:v>
      </x:c>
      <x:c r="E336" s="8"/>
      <x:c r="F336" s="8"/>
      <x:c r="G336" s="9"/>
      <x:c r="H336" s="9"/>
      <x:c r="I336" s="8"/>
      <x:c r="J336" s="8"/>
      <x:c r="K336" s="2" t="str">
        <x:f>IF(OR(E336="",F336="",G336="",H336="",I336="",J336=""),"",IF(E336="Harness blocked","BLOCKED",IF(AND(E336="Present",F336="Supplied"),1,IF(OR(E336="Missing",E336="Not reached"),0,"CHECK"))))</x:f>
      </x:c>
      <x:c r="L336" s="2" t="str">
        <x:f>IF(ISNUMBER(K336),IF(AND(K336=1,I336="No"),1,0),K336)</x:f>
      </x:c>
      <x:c r="M336" s="2" t="n">
        <x:f>IF(ISNUMBER(K336),1,0)</x:f>
        <x:v>0</x:v>
      </x:c>
    </x:row>
    <x:row r="337" ht="24" customHeight="1">
      <x:c r="A337" s="2" t="str">
        <x:v>S06.04</x:v>
      </x:c>
      <x:c r="B337" s="2" t="str">
        <x:v>S06</x:v>
      </x:c>
      <x:c r="C337" s="2" t="str">
        <x:v>gpt_connected</x:v>
      </x:c>
      <x:c r="D337" s="2" t="n">
        <x:v>1</x:v>
      </x:c>
      <x:c r="E337" s="8"/>
      <x:c r="F337" s="8"/>
      <x:c r="G337" s="9"/>
      <x:c r="H337" s="9"/>
      <x:c r="I337" s="8"/>
      <x:c r="J337" s="8"/>
      <x:c r="K337" s="2" t="str">
        <x:f>IF(OR(E337="",F337="",G337="",H337="",I337="",J337=""),"",IF(E337="Harness blocked","BLOCKED",IF(AND(E337="Present",F337="Supplied"),1,IF(OR(E337="Missing",E337="Not reached"),0,"CHECK"))))</x:f>
      </x:c>
      <x:c r="L337" s="2" t="str">
        <x:f>IF(ISNUMBER(K337),IF(AND(K337=1,I337="No"),1,0),K337)</x:f>
      </x:c>
      <x:c r="M337" s="2" t="n">
        <x:f>IF(ISNUMBER(K337),1,0)</x:f>
        <x:v>0</x:v>
      </x:c>
    </x:row>
    <x:row r="338" ht="24" customHeight="1">
      <x:c r="A338" s="2" t="str">
        <x:v>S06.05</x:v>
      </x:c>
      <x:c r="B338" s="2" t="str">
        <x:v>S06</x:v>
      </x:c>
      <x:c r="C338" s="2" t="str">
        <x:v>gpt_connected</x:v>
      </x:c>
      <x:c r="D338" s="2" t="n">
        <x:v>1</x:v>
      </x:c>
      <x:c r="E338" s="8"/>
      <x:c r="F338" s="8"/>
      <x:c r="G338" s="9"/>
      <x:c r="H338" s="9"/>
      <x:c r="I338" s="8"/>
      <x:c r="J338" s="8"/>
      <x:c r="K338" s="2" t="str">
        <x:f>IF(OR(E338="",F338="",G338="",H338="",I338="",J338=""),"",IF(E338="Harness blocked","BLOCKED",IF(AND(E338="Present",F338="Supplied"),1,IF(OR(E338="Missing",E338="Not reached"),0,"CHECK"))))</x:f>
      </x:c>
      <x:c r="L338" s="2" t="str">
        <x:f>IF(ISNUMBER(K338),IF(AND(K338=1,I338="No"),1,0),K338)</x:f>
      </x:c>
      <x:c r="M338" s="2" t="n">
        <x:f>IF(ISNUMBER(K338),1,0)</x:f>
        <x:v>0</x:v>
      </x:c>
    </x:row>
    <x:row r="339" ht="24" customHeight="1">
      <x:c r="A339" s="2" t="str">
        <x:v>S06.06</x:v>
      </x:c>
      <x:c r="B339" s="2" t="str">
        <x:v>S06</x:v>
      </x:c>
      <x:c r="C339" s="2" t="str">
        <x:v>gpt_connected</x:v>
      </x:c>
      <x:c r="D339" s="2" t="n">
        <x:v>1</x:v>
      </x:c>
      <x:c r="E339" s="8"/>
      <x:c r="F339" s="8"/>
      <x:c r="G339" s="9"/>
      <x:c r="H339" s="9"/>
      <x:c r="I339" s="8"/>
      <x:c r="J339" s="8"/>
      <x:c r="K339" s="2" t="str">
        <x:f>IF(OR(E339="",F339="",G339="",H339="",I339="",J339=""),"",IF(E339="Harness blocked","BLOCKED",IF(AND(E339="Present",F339="Supplied"),1,IF(OR(E339="Missing",E339="Not reached"),0,"CHECK"))))</x:f>
      </x:c>
      <x:c r="L339" s="2" t="str">
        <x:f>IF(ISNUMBER(K339),IF(AND(K339=1,I339="No"),1,0),K339)</x:f>
      </x:c>
      <x:c r="M339" s="2" t="n">
        <x:f>IF(ISNUMBER(K339),1,0)</x:f>
        <x:v>0</x:v>
      </x:c>
    </x:row>
    <x:row r="340" ht="24" customHeight="1">
      <x:c r="A340" s="2" t="str">
        <x:v>S06.07</x:v>
      </x:c>
      <x:c r="B340" s="2" t="str">
        <x:v>S06</x:v>
      </x:c>
      <x:c r="C340" s="2" t="str">
        <x:v>gpt_connected</x:v>
      </x:c>
      <x:c r="D340" s="2" t="n">
        <x:v>1</x:v>
      </x:c>
      <x:c r="E340" s="8"/>
      <x:c r="F340" s="8"/>
      <x:c r="G340" s="9"/>
      <x:c r="H340" s="9"/>
      <x:c r="I340" s="8"/>
      <x:c r="J340" s="8"/>
      <x:c r="K340" s="2" t="str">
        <x:f>IF(OR(E340="",F340="",G340="",H340="",I340="",J340=""),"",IF(E340="Harness blocked","BLOCKED",IF(AND(E340="Present",F340="Supplied"),1,IF(OR(E340="Missing",E340="Not reached"),0,"CHECK"))))</x:f>
      </x:c>
      <x:c r="L340" s="2" t="str">
        <x:f>IF(ISNUMBER(K340),IF(AND(K340=1,I340="No"),1,0),K340)</x:f>
      </x:c>
      <x:c r="M340" s="2" t="n">
        <x:f>IF(ISNUMBER(K340),1,0)</x:f>
        <x:v>0</x:v>
      </x:c>
    </x:row>
    <x:row r="341" ht="24" customHeight="1">
      <x:c r="A341" s="2" t="str">
        <x:v>S06.08</x:v>
      </x:c>
      <x:c r="B341" s="2" t="str">
        <x:v>S06</x:v>
      </x:c>
      <x:c r="C341" s="2" t="str">
        <x:v>gpt_connected</x:v>
      </x:c>
      <x:c r="D341" s="2" t="n">
        <x:v>1</x:v>
      </x:c>
      <x:c r="E341" s="8"/>
      <x:c r="F341" s="8"/>
      <x:c r="G341" s="9"/>
      <x:c r="H341" s="9"/>
      <x:c r="I341" s="8"/>
      <x:c r="J341" s="8"/>
      <x:c r="K341" s="2" t="str">
        <x:f>IF(OR(E341="",F341="",G341="",H341="",I341="",J341=""),"",IF(E341="Harness blocked","BLOCKED",IF(AND(E341="Present",F341="Supplied"),1,IF(OR(E341="Missing",E341="Not reached"),0,"CHECK"))))</x:f>
      </x:c>
      <x:c r="L341" s="2" t="str">
        <x:f>IF(ISNUMBER(K341),IF(AND(K341=1,I341="No"),1,0),K341)</x:f>
      </x:c>
      <x:c r="M341" s="2" t="n">
        <x:f>IF(ISNUMBER(K341),1,0)</x:f>
        <x:v>0</x:v>
      </x:c>
    </x:row>
    <x:row r="342" ht="24" customHeight="1">
      <x:c r="A342" s="2" t="str">
        <x:v>S07.01</x:v>
      </x:c>
      <x:c r="B342" s="2" t="str">
        <x:v>S07</x:v>
      </x:c>
      <x:c r="C342" s="2" t="str">
        <x:v>gpt_connected</x:v>
      </x:c>
      <x:c r="D342" s="2" t="n">
        <x:v>1</x:v>
      </x:c>
      <x:c r="E342" s="8"/>
      <x:c r="F342" s="8"/>
      <x:c r="G342" s="9"/>
      <x:c r="H342" s="9"/>
      <x:c r="I342" s="8"/>
      <x:c r="J342" s="8"/>
      <x:c r="K342" s="2" t="str">
        <x:f>IF(OR(E342="",F342="",G342="",H342="",I342="",J342=""),"",IF(E342="Harness blocked","BLOCKED",IF(AND(E342="Present",F342="Supplied"),1,IF(OR(E342="Missing",E342="Not reached"),0,"CHECK"))))</x:f>
      </x:c>
      <x:c r="L342" s="2" t="str">
        <x:f>IF(ISNUMBER(K342),IF(AND(K342=1,I342="No"),1,0),K342)</x:f>
      </x:c>
      <x:c r="M342" s="2" t="n">
        <x:f>IF(ISNUMBER(K342),1,0)</x:f>
        <x:v>0</x:v>
      </x:c>
    </x:row>
    <x:row r="343" ht="24" customHeight="1">
      <x:c r="A343" s="2" t="str">
        <x:v>S07.02</x:v>
      </x:c>
      <x:c r="B343" s="2" t="str">
        <x:v>S07</x:v>
      </x:c>
      <x:c r="C343" s="2" t="str">
        <x:v>gpt_connected</x:v>
      </x:c>
      <x:c r="D343" s="2" t="n">
        <x:v>1</x:v>
      </x:c>
      <x:c r="E343" s="8"/>
      <x:c r="F343" s="8"/>
      <x:c r="G343" s="9"/>
      <x:c r="H343" s="9"/>
      <x:c r="I343" s="8"/>
      <x:c r="J343" s="8"/>
      <x:c r="K343" s="2" t="str">
        <x:f>IF(OR(E343="",F343="",G343="",H343="",I343="",J343=""),"",IF(E343="Harness blocked","BLOCKED",IF(AND(E343="Present",F343="Supplied"),1,IF(OR(E343="Missing",E343="Not reached"),0,"CHECK"))))</x:f>
      </x:c>
      <x:c r="L343" s="2" t="str">
        <x:f>IF(ISNUMBER(K343),IF(AND(K343=1,I343="No"),1,0),K343)</x:f>
      </x:c>
      <x:c r="M343" s="2" t="n">
        <x:f>IF(ISNUMBER(K343),1,0)</x:f>
        <x:v>0</x:v>
      </x:c>
    </x:row>
    <x:row r="344" ht="24" customHeight="1">
      <x:c r="A344" s="2" t="str">
        <x:v>S07.03</x:v>
      </x:c>
      <x:c r="B344" s="2" t="str">
        <x:v>S07</x:v>
      </x:c>
      <x:c r="C344" s="2" t="str">
        <x:v>gpt_connected</x:v>
      </x:c>
      <x:c r="D344" s="2" t="n">
        <x:v>1</x:v>
      </x:c>
      <x:c r="E344" s="8"/>
      <x:c r="F344" s="8"/>
      <x:c r="G344" s="9"/>
      <x:c r="H344" s="9"/>
      <x:c r="I344" s="8"/>
      <x:c r="J344" s="8"/>
      <x:c r="K344" s="2" t="str">
        <x:f>IF(OR(E344="",F344="",G344="",H344="",I344="",J344=""),"",IF(E344="Harness blocked","BLOCKED",IF(AND(E344="Present",F344="Supplied"),1,IF(OR(E344="Missing",E344="Not reached"),0,"CHECK"))))</x:f>
      </x:c>
      <x:c r="L344" s="2" t="str">
        <x:f>IF(ISNUMBER(K344),IF(AND(K344=1,I344="No"),1,0),K344)</x:f>
      </x:c>
      <x:c r="M344" s="2" t="n">
        <x:f>IF(ISNUMBER(K344),1,0)</x:f>
        <x:v>0</x:v>
      </x:c>
    </x:row>
    <x:row r="345" ht="24" customHeight="1">
      <x:c r="A345" s="2" t="str">
        <x:v>S07.04</x:v>
      </x:c>
      <x:c r="B345" s="2" t="str">
        <x:v>S07</x:v>
      </x:c>
      <x:c r="C345" s="2" t="str">
        <x:v>gpt_connected</x:v>
      </x:c>
      <x:c r="D345" s="2" t="n">
        <x:v>1</x:v>
      </x:c>
      <x:c r="E345" s="8"/>
      <x:c r="F345" s="8"/>
      <x:c r="G345" s="9"/>
      <x:c r="H345" s="9"/>
      <x:c r="I345" s="8"/>
      <x:c r="J345" s="8"/>
      <x:c r="K345" s="2" t="str">
        <x:f>IF(OR(E345="",F345="",G345="",H345="",I345="",J345=""),"",IF(E345="Harness blocked","BLOCKED",IF(AND(E345="Present",F345="Supplied"),1,IF(OR(E345="Missing",E345="Not reached"),0,"CHECK"))))</x:f>
      </x:c>
      <x:c r="L345" s="2" t="str">
        <x:f>IF(ISNUMBER(K345),IF(AND(K345=1,I345="No"),1,0),K345)</x:f>
      </x:c>
      <x:c r="M345" s="2" t="n">
        <x:f>IF(ISNUMBER(K345),1,0)</x:f>
        <x:v>0</x:v>
      </x:c>
    </x:row>
    <x:row r="346" ht="24" customHeight="1">
      <x:c r="A346" s="2" t="str">
        <x:v>S07.05</x:v>
      </x:c>
      <x:c r="B346" s="2" t="str">
        <x:v>S07</x:v>
      </x:c>
      <x:c r="C346" s="2" t="str">
        <x:v>gpt_connected</x:v>
      </x:c>
      <x:c r="D346" s="2" t="n">
        <x:v>1</x:v>
      </x:c>
      <x:c r="E346" s="8"/>
      <x:c r="F346" s="8"/>
      <x:c r="G346" s="9"/>
      <x:c r="H346" s="9"/>
      <x:c r="I346" s="8"/>
      <x:c r="J346" s="8"/>
      <x:c r="K346" s="2" t="str">
        <x:f>IF(OR(E346="",F346="",G346="",H346="",I346="",J346=""),"",IF(E346="Harness blocked","BLOCKED",IF(AND(E346="Present",F346="Supplied"),1,IF(OR(E346="Missing",E346="Not reached"),0,"CHECK"))))</x:f>
      </x:c>
      <x:c r="L346" s="2" t="str">
        <x:f>IF(ISNUMBER(K346),IF(AND(K346=1,I346="No"),1,0),K346)</x:f>
      </x:c>
      <x:c r="M346" s="2" t="n">
        <x:f>IF(ISNUMBER(K346),1,0)</x:f>
        <x:v>0</x:v>
      </x:c>
    </x:row>
    <x:row r="347" ht="24" customHeight="1">
      <x:c r="A347" s="2" t="str">
        <x:v>S07.06</x:v>
      </x:c>
      <x:c r="B347" s="2" t="str">
        <x:v>S07</x:v>
      </x:c>
      <x:c r="C347" s="2" t="str">
        <x:v>gpt_connected</x:v>
      </x:c>
      <x:c r="D347" s="2" t="n">
        <x:v>1</x:v>
      </x:c>
      <x:c r="E347" s="8"/>
      <x:c r="F347" s="8"/>
      <x:c r="G347" s="9"/>
      <x:c r="H347" s="9"/>
      <x:c r="I347" s="8"/>
      <x:c r="J347" s="8"/>
      <x:c r="K347" s="2" t="str">
        <x:f>IF(OR(E347="",F347="",G347="",H347="",I347="",J347=""),"",IF(E347="Harness blocked","BLOCKED",IF(AND(E347="Present",F347="Supplied"),1,IF(OR(E347="Missing",E347="Not reached"),0,"CHECK"))))</x:f>
      </x:c>
      <x:c r="L347" s="2" t="str">
        <x:f>IF(ISNUMBER(K347),IF(AND(K347=1,I347="No"),1,0),K347)</x:f>
      </x:c>
      <x:c r="M347" s="2" t="n">
        <x:f>IF(ISNUMBER(K347),1,0)</x:f>
        <x:v>0</x:v>
      </x:c>
    </x:row>
    <x:row r="348" ht="24" customHeight="1">
      <x:c r="A348" s="2" t="str">
        <x:v>S07.07</x:v>
      </x:c>
      <x:c r="B348" s="2" t="str">
        <x:v>S07</x:v>
      </x:c>
      <x:c r="C348" s="2" t="str">
        <x:v>gpt_connected</x:v>
      </x:c>
      <x:c r="D348" s="2" t="n">
        <x:v>1</x:v>
      </x:c>
      <x:c r="E348" s="8"/>
      <x:c r="F348" s="8"/>
      <x:c r="G348" s="9"/>
      <x:c r="H348" s="9"/>
      <x:c r="I348" s="8"/>
      <x:c r="J348" s="8"/>
      <x:c r="K348" s="2" t="str">
        <x:f>IF(OR(E348="",F348="",G348="",H348="",I348="",J348=""),"",IF(E348="Harness blocked","BLOCKED",IF(AND(E348="Present",F348="Supplied"),1,IF(OR(E348="Missing",E348="Not reached"),0,"CHECK"))))</x:f>
      </x:c>
      <x:c r="L348" s="2" t="str">
        <x:f>IF(ISNUMBER(K348),IF(AND(K348=1,I348="No"),1,0),K348)</x:f>
      </x:c>
      <x:c r="M348" s="2" t="n">
        <x:f>IF(ISNUMBER(K348),1,0)</x:f>
        <x:v>0</x:v>
      </x:c>
    </x:row>
    <x:row r="349" ht="24" customHeight="1">
      <x:c r="A349" s="2" t="str">
        <x:v>S07.08</x:v>
      </x:c>
      <x:c r="B349" s="2" t="str">
        <x:v>S07</x:v>
      </x:c>
      <x:c r="C349" s="2" t="str">
        <x:v>gpt_connected</x:v>
      </x:c>
      <x:c r="D349" s="2" t="n">
        <x:v>1</x:v>
      </x:c>
      <x:c r="E349" s="8"/>
      <x:c r="F349" s="8"/>
      <x:c r="G349" s="9"/>
      <x:c r="H349" s="9"/>
      <x:c r="I349" s="8"/>
      <x:c r="J349" s="8"/>
      <x:c r="K349" s="2" t="str">
        <x:f>IF(OR(E349="",F349="",G349="",H349="",I349="",J349=""),"",IF(E349="Harness blocked","BLOCKED",IF(AND(E349="Present",F349="Supplied"),1,IF(OR(E349="Missing",E349="Not reached"),0,"CHECK"))))</x:f>
      </x:c>
      <x:c r="L349" s="2" t="str">
        <x:f>IF(ISNUMBER(K349),IF(AND(K349=1,I349="No"),1,0),K349)</x:f>
      </x:c>
      <x:c r="M349" s="2" t="n">
        <x:f>IF(ISNUMBER(K349),1,0)</x:f>
        <x:v>0</x:v>
      </x:c>
    </x:row>
    <x:row r="350" ht="24" customHeight="1">
      <x:c r="A350" s="2" t="str">
        <x:v>S08.01</x:v>
      </x:c>
      <x:c r="B350" s="2" t="str">
        <x:v>S08</x:v>
      </x:c>
      <x:c r="C350" s="2" t="str">
        <x:v>gpt_connected</x:v>
      </x:c>
      <x:c r="D350" s="2" t="n">
        <x:v>1</x:v>
      </x:c>
      <x:c r="E350" s="8"/>
      <x:c r="F350" s="8"/>
      <x:c r="G350" s="9"/>
      <x:c r="H350" s="9"/>
      <x:c r="I350" s="8"/>
      <x:c r="J350" s="8"/>
      <x:c r="K350" s="2" t="str">
        <x:f>IF(OR(E350="",F350="",G350="",H350="",I350="",J350=""),"",IF(E350="Harness blocked","BLOCKED",IF(AND(E350="Present",F350="Supplied"),1,IF(OR(E350="Missing",E350="Not reached"),0,"CHECK"))))</x:f>
      </x:c>
      <x:c r="L350" s="2" t="str">
        <x:f>IF(ISNUMBER(K350),IF(AND(K350=1,I350="No"),1,0),K350)</x:f>
      </x:c>
      <x:c r="M350" s="2" t="n">
        <x:f>IF(ISNUMBER(K350),1,0)</x:f>
        <x:v>0</x:v>
      </x:c>
    </x:row>
    <x:row r="351" ht="24" customHeight="1">
      <x:c r="A351" s="2" t="str">
        <x:v>S08.02</x:v>
      </x:c>
      <x:c r="B351" s="2" t="str">
        <x:v>S08</x:v>
      </x:c>
      <x:c r="C351" s="2" t="str">
        <x:v>gpt_connected</x:v>
      </x:c>
      <x:c r="D351" s="2" t="n">
        <x:v>1</x:v>
      </x:c>
      <x:c r="E351" s="8"/>
      <x:c r="F351" s="8"/>
      <x:c r="G351" s="9"/>
      <x:c r="H351" s="9"/>
      <x:c r="I351" s="8"/>
      <x:c r="J351" s="8"/>
      <x:c r="K351" s="2" t="str">
        <x:f>IF(OR(E351="",F351="",G351="",H351="",I351="",J351=""),"",IF(E351="Harness blocked","BLOCKED",IF(AND(E351="Present",F351="Supplied"),1,IF(OR(E351="Missing",E351="Not reached"),0,"CHECK"))))</x:f>
      </x:c>
      <x:c r="L351" s="2" t="str">
        <x:f>IF(ISNUMBER(K351),IF(AND(K351=1,I351="No"),1,0),K351)</x:f>
      </x:c>
      <x:c r="M351" s="2" t="n">
        <x:f>IF(ISNUMBER(K351),1,0)</x:f>
        <x:v>0</x:v>
      </x:c>
    </x:row>
    <x:row r="352" ht="24" customHeight="1">
      <x:c r="A352" s="2" t="str">
        <x:v>S08.03</x:v>
      </x:c>
      <x:c r="B352" s="2" t="str">
        <x:v>S08</x:v>
      </x:c>
      <x:c r="C352" s="2" t="str">
        <x:v>gpt_connected</x:v>
      </x:c>
      <x:c r="D352" s="2" t="n">
        <x:v>1</x:v>
      </x:c>
      <x:c r="E352" s="8"/>
      <x:c r="F352" s="8"/>
      <x:c r="G352" s="9"/>
      <x:c r="H352" s="9"/>
      <x:c r="I352" s="8"/>
      <x:c r="J352" s="8"/>
      <x:c r="K352" s="2" t="str">
        <x:f>IF(OR(E352="",F352="",G352="",H352="",I352="",J352=""),"",IF(E352="Harness blocked","BLOCKED",IF(AND(E352="Present",F352="Supplied"),1,IF(OR(E352="Missing",E352="Not reached"),0,"CHECK"))))</x:f>
      </x:c>
      <x:c r="L352" s="2" t="str">
        <x:f>IF(ISNUMBER(K352),IF(AND(K352=1,I352="No"),1,0),K352)</x:f>
      </x:c>
      <x:c r="M352" s="2" t="n">
        <x:f>IF(ISNUMBER(K352),1,0)</x:f>
        <x:v>0</x:v>
      </x:c>
    </x:row>
    <x:row r="353" ht="24" customHeight="1">
      <x:c r="A353" s="2" t="str">
        <x:v>S08.04</x:v>
      </x:c>
      <x:c r="B353" s="2" t="str">
        <x:v>S08</x:v>
      </x:c>
      <x:c r="C353" s="2" t="str">
        <x:v>gpt_connected</x:v>
      </x:c>
      <x:c r="D353" s="2" t="n">
        <x:v>1</x:v>
      </x:c>
      <x:c r="E353" s="8"/>
      <x:c r="F353" s="8"/>
      <x:c r="G353" s="9"/>
      <x:c r="H353" s="9"/>
      <x:c r="I353" s="8"/>
      <x:c r="J353" s="8"/>
      <x:c r="K353" s="2" t="str">
        <x:f>IF(OR(E353="",F353="",G353="",H353="",I353="",J353=""),"",IF(E353="Harness blocked","BLOCKED",IF(AND(E353="Present",F353="Supplied"),1,IF(OR(E353="Missing",E353="Not reached"),0,"CHECK"))))</x:f>
      </x:c>
      <x:c r="L353" s="2" t="str">
        <x:f>IF(ISNUMBER(K353),IF(AND(K353=1,I353="No"),1,0),K353)</x:f>
      </x:c>
      <x:c r="M353" s="2" t="n">
        <x:f>IF(ISNUMBER(K353),1,0)</x:f>
        <x:v>0</x:v>
      </x:c>
    </x:row>
    <x:row r="354" ht="24" customHeight="1">
      <x:c r="A354" s="2" t="str">
        <x:v>S08.05</x:v>
      </x:c>
      <x:c r="B354" s="2" t="str">
        <x:v>S08</x:v>
      </x:c>
      <x:c r="C354" s="2" t="str">
        <x:v>gpt_connected</x:v>
      </x:c>
      <x:c r="D354" s="2" t="n">
        <x:v>1</x:v>
      </x:c>
      <x:c r="E354" s="8"/>
      <x:c r="F354" s="8"/>
      <x:c r="G354" s="9"/>
      <x:c r="H354" s="9"/>
      <x:c r="I354" s="8"/>
      <x:c r="J354" s="8"/>
      <x:c r="K354" s="2" t="str">
        <x:f>IF(OR(E354="",F354="",G354="",H354="",I354="",J354=""),"",IF(E354="Harness blocked","BLOCKED",IF(AND(E354="Present",F354="Supplied"),1,IF(OR(E354="Missing",E354="Not reached"),0,"CHECK"))))</x:f>
      </x:c>
      <x:c r="L354" s="2" t="str">
        <x:f>IF(ISNUMBER(K354),IF(AND(K354=1,I354="No"),1,0),K354)</x:f>
      </x:c>
      <x:c r="M354" s="2" t="n">
        <x:f>IF(ISNUMBER(K354),1,0)</x:f>
        <x:v>0</x:v>
      </x:c>
    </x:row>
    <x:row r="355" ht="24" customHeight="1">
      <x:c r="A355" s="2" t="str">
        <x:v>S08.06</x:v>
      </x:c>
      <x:c r="B355" s="2" t="str">
        <x:v>S08</x:v>
      </x:c>
      <x:c r="C355" s="2" t="str">
        <x:v>gpt_connected</x:v>
      </x:c>
      <x:c r="D355" s="2" t="n">
        <x:v>1</x:v>
      </x:c>
      <x:c r="E355" s="8"/>
      <x:c r="F355" s="8"/>
      <x:c r="G355" s="9"/>
      <x:c r="H355" s="9"/>
      <x:c r="I355" s="8"/>
      <x:c r="J355" s="8"/>
      <x:c r="K355" s="2" t="str">
        <x:f>IF(OR(E355="",F355="",G355="",H355="",I355="",J355=""),"",IF(E355="Harness blocked","BLOCKED",IF(AND(E355="Present",F355="Supplied"),1,IF(OR(E355="Missing",E355="Not reached"),0,"CHECK"))))</x:f>
      </x:c>
      <x:c r="L355" s="2" t="str">
        <x:f>IF(ISNUMBER(K355),IF(AND(K355=1,I355="No"),1,0),K355)</x:f>
      </x:c>
      <x:c r="M355" s="2" t="n">
        <x:f>IF(ISNUMBER(K355),1,0)</x:f>
        <x:v>0</x:v>
      </x:c>
    </x:row>
    <x:row r="356" ht="24" customHeight="1">
      <x:c r="A356" s="2" t="str">
        <x:v>S08.07</x:v>
      </x:c>
      <x:c r="B356" s="2" t="str">
        <x:v>S08</x:v>
      </x:c>
      <x:c r="C356" s="2" t="str">
        <x:v>gpt_connected</x:v>
      </x:c>
      <x:c r="D356" s="2" t="n">
        <x:v>1</x:v>
      </x:c>
      <x:c r="E356" s="8"/>
      <x:c r="F356" s="8"/>
      <x:c r="G356" s="9"/>
      <x:c r="H356" s="9"/>
      <x:c r="I356" s="8"/>
      <x:c r="J356" s="8"/>
      <x:c r="K356" s="2" t="str">
        <x:f>IF(OR(E356="",F356="",G356="",H356="",I356="",J356=""),"",IF(E356="Harness blocked","BLOCKED",IF(AND(E356="Present",F356="Supplied"),1,IF(OR(E356="Missing",E356="Not reached"),0,"CHECK"))))</x:f>
      </x:c>
      <x:c r="L356" s="2" t="str">
        <x:f>IF(ISNUMBER(K356),IF(AND(K356=1,I356="No"),1,0),K356)</x:f>
      </x:c>
      <x:c r="M356" s="2" t="n">
        <x:f>IF(ISNUMBER(K356),1,0)</x:f>
        <x:v>0</x:v>
      </x:c>
    </x:row>
    <x:row r="357" ht="24" customHeight="1">
      <x:c r="A357" s="2" t="str">
        <x:v>S08.08</x:v>
      </x:c>
      <x:c r="B357" s="2" t="str">
        <x:v>S08</x:v>
      </x:c>
      <x:c r="C357" s="2" t="str">
        <x:v>gpt_connected</x:v>
      </x:c>
      <x:c r="D357" s="2" t="n">
        <x:v>1</x:v>
      </x:c>
      <x:c r="E357" s="8"/>
      <x:c r="F357" s="8"/>
      <x:c r="G357" s="9"/>
      <x:c r="H357" s="9"/>
      <x:c r="I357" s="8"/>
      <x:c r="J357" s="8"/>
      <x:c r="K357" s="2" t="str">
        <x:f>IF(OR(E357="",F357="",G357="",H357="",I357="",J357=""),"",IF(E357="Harness blocked","BLOCKED",IF(AND(E357="Present",F357="Supplied"),1,IF(OR(E357="Missing",E357="Not reached"),0,"CHECK"))))</x:f>
      </x:c>
      <x:c r="L357" s="2" t="str">
        <x:f>IF(ISNUMBER(K357),IF(AND(K357=1,I357="No"),1,0),K357)</x:f>
      </x:c>
      <x:c r="M357" s="2" t="n">
        <x:f>IF(ISNUMBER(K357),1,0)</x:f>
        <x:v>0</x:v>
      </x:c>
    </x:row>
    <x:row r="358" ht="24" customHeight="1">
      <x:c r="A358" s="2" t="str">
        <x:v>S09.01</x:v>
      </x:c>
      <x:c r="B358" s="2" t="str">
        <x:v>S09</x:v>
      </x:c>
      <x:c r="C358" s="2" t="str">
        <x:v>gpt_connected</x:v>
      </x:c>
      <x:c r="D358" s="2" t="n">
        <x:v>1</x:v>
      </x:c>
      <x:c r="E358" s="8"/>
      <x:c r="F358" s="8"/>
      <x:c r="G358" s="9"/>
      <x:c r="H358" s="9"/>
      <x:c r="I358" s="8"/>
      <x:c r="J358" s="8"/>
      <x:c r="K358" s="2" t="str">
        <x:f>IF(OR(E358="",F358="",G358="",H358="",I358="",J358=""),"",IF(E358="Harness blocked","BLOCKED",IF(AND(E358="Present",F358="Supplied"),1,IF(OR(E358="Missing",E358="Not reached"),0,"CHECK"))))</x:f>
      </x:c>
      <x:c r="L358" s="2" t="str">
        <x:f>IF(ISNUMBER(K358),IF(AND(K358=1,I358="No"),1,0),K358)</x:f>
      </x:c>
      <x:c r="M358" s="2" t="n">
        <x:f>IF(ISNUMBER(K358),1,0)</x:f>
        <x:v>0</x:v>
      </x:c>
    </x:row>
    <x:row r="359" ht="24" customHeight="1">
      <x:c r="A359" s="2" t="str">
        <x:v>S09.02</x:v>
      </x:c>
      <x:c r="B359" s="2" t="str">
        <x:v>S09</x:v>
      </x:c>
      <x:c r="C359" s="2" t="str">
        <x:v>gpt_connected</x:v>
      </x:c>
      <x:c r="D359" s="2" t="n">
        <x:v>1</x:v>
      </x:c>
      <x:c r="E359" s="8"/>
      <x:c r="F359" s="8"/>
      <x:c r="G359" s="9"/>
      <x:c r="H359" s="9"/>
      <x:c r="I359" s="8"/>
      <x:c r="J359" s="8"/>
      <x:c r="K359" s="2" t="str">
        <x:f>IF(OR(E359="",F359="",G359="",H359="",I359="",J359=""),"",IF(E359="Harness blocked","BLOCKED",IF(AND(E359="Present",F359="Supplied"),1,IF(OR(E359="Missing",E359="Not reached"),0,"CHECK"))))</x:f>
      </x:c>
      <x:c r="L359" s="2" t="str">
        <x:f>IF(ISNUMBER(K359),IF(AND(K359=1,I359="No"),1,0),K359)</x:f>
      </x:c>
      <x:c r="M359" s="2" t="n">
        <x:f>IF(ISNUMBER(K359),1,0)</x:f>
        <x:v>0</x:v>
      </x:c>
    </x:row>
    <x:row r="360" ht="24" customHeight="1">
      <x:c r="A360" s="2" t="str">
        <x:v>S09.03</x:v>
      </x:c>
      <x:c r="B360" s="2" t="str">
        <x:v>S09</x:v>
      </x:c>
      <x:c r="C360" s="2" t="str">
        <x:v>gpt_connected</x:v>
      </x:c>
      <x:c r="D360" s="2" t="n">
        <x:v>1</x:v>
      </x:c>
      <x:c r="E360" s="8"/>
      <x:c r="F360" s="8"/>
      <x:c r="G360" s="9"/>
      <x:c r="H360" s="9"/>
      <x:c r="I360" s="8"/>
      <x:c r="J360" s="8"/>
      <x:c r="K360" s="2" t="str">
        <x:f>IF(OR(E360="",F360="",G360="",H360="",I360="",J360=""),"",IF(E360="Harness blocked","BLOCKED",IF(AND(E360="Present",F360="Supplied"),1,IF(OR(E360="Missing",E360="Not reached"),0,"CHECK"))))</x:f>
      </x:c>
      <x:c r="L360" s="2" t="str">
        <x:f>IF(ISNUMBER(K360),IF(AND(K360=1,I360="No"),1,0),K360)</x:f>
      </x:c>
      <x:c r="M360" s="2" t="n">
        <x:f>IF(ISNUMBER(K360),1,0)</x:f>
        <x:v>0</x:v>
      </x:c>
    </x:row>
    <x:row r="361" ht="24" customHeight="1">
      <x:c r="A361" s="2" t="str">
        <x:v>S09.04</x:v>
      </x:c>
      <x:c r="B361" s="2" t="str">
        <x:v>S09</x:v>
      </x:c>
      <x:c r="C361" s="2" t="str">
        <x:v>gpt_connected</x:v>
      </x:c>
      <x:c r="D361" s="2" t="n">
        <x:v>1</x:v>
      </x:c>
      <x:c r="E361" s="8"/>
      <x:c r="F361" s="8"/>
      <x:c r="G361" s="9"/>
      <x:c r="H361" s="9"/>
      <x:c r="I361" s="8"/>
      <x:c r="J361" s="8"/>
      <x:c r="K361" s="2" t="str">
        <x:f>IF(OR(E361="",F361="",G361="",H361="",I361="",J361=""),"",IF(E361="Harness blocked","BLOCKED",IF(AND(E361="Present",F361="Supplied"),1,IF(OR(E361="Missing",E361="Not reached"),0,"CHECK"))))</x:f>
      </x:c>
      <x:c r="L361" s="2" t="str">
        <x:f>IF(ISNUMBER(K361),IF(AND(K361=1,I361="No"),1,0),K361)</x:f>
      </x:c>
      <x:c r="M361" s="2" t="n">
        <x:f>IF(ISNUMBER(K361),1,0)</x:f>
        <x:v>0</x:v>
      </x:c>
    </x:row>
    <x:row r="362" ht="24" customHeight="1">
      <x:c r="A362" s="2" t="str">
        <x:v>S09.05</x:v>
      </x:c>
      <x:c r="B362" s="2" t="str">
        <x:v>S09</x:v>
      </x:c>
      <x:c r="C362" s="2" t="str">
        <x:v>gpt_connected</x:v>
      </x:c>
      <x:c r="D362" s="2" t="n">
        <x:v>1</x:v>
      </x:c>
      <x:c r="E362" s="8"/>
      <x:c r="F362" s="8"/>
      <x:c r="G362" s="9"/>
      <x:c r="H362" s="9"/>
      <x:c r="I362" s="8"/>
      <x:c r="J362" s="8"/>
      <x:c r="K362" s="2" t="str">
        <x:f>IF(OR(E362="",F362="",G362="",H362="",I362="",J362=""),"",IF(E362="Harness blocked","BLOCKED",IF(AND(E362="Present",F362="Supplied"),1,IF(OR(E362="Missing",E362="Not reached"),0,"CHECK"))))</x:f>
      </x:c>
      <x:c r="L362" s="2" t="str">
        <x:f>IF(ISNUMBER(K362),IF(AND(K362=1,I362="No"),1,0),K362)</x:f>
      </x:c>
      <x:c r="M362" s="2" t="n">
        <x:f>IF(ISNUMBER(K362),1,0)</x:f>
        <x:v>0</x:v>
      </x:c>
    </x:row>
    <x:row r="363" ht="24" customHeight="1">
      <x:c r="A363" s="2" t="str">
        <x:v>S09.06</x:v>
      </x:c>
      <x:c r="B363" s="2" t="str">
        <x:v>S09</x:v>
      </x:c>
      <x:c r="C363" s="2" t="str">
        <x:v>gpt_connected</x:v>
      </x:c>
      <x:c r="D363" s="2" t="n">
        <x:v>1</x:v>
      </x:c>
      <x:c r="E363" s="8"/>
      <x:c r="F363" s="8"/>
      <x:c r="G363" s="9"/>
      <x:c r="H363" s="9"/>
      <x:c r="I363" s="8"/>
      <x:c r="J363" s="8"/>
      <x:c r="K363" s="2" t="str">
        <x:f>IF(OR(E363="",F363="",G363="",H363="",I363="",J363=""),"",IF(E363="Harness blocked","BLOCKED",IF(AND(E363="Present",F363="Supplied"),1,IF(OR(E363="Missing",E363="Not reached"),0,"CHECK"))))</x:f>
      </x:c>
      <x:c r="L363" s="2" t="str">
        <x:f>IF(ISNUMBER(K363),IF(AND(K363=1,I363="No"),1,0),K363)</x:f>
      </x:c>
      <x:c r="M363" s="2" t="n">
        <x:f>IF(ISNUMBER(K363),1,0)</x:f>
        <x:v>0</x:v>
      </x:c>
    </x:row>
    <x:row r="364" ht="24" customHeight="1">
      <x:c r="A364" s="2" t="str">
        <x:v>S09.07</x:v>
      </x:c>
      <x:c r="B364" s="2" t="str">
        <x:v>S09</x:v>
      </x:c>
      <x:c r="C364" s="2" t="str">
        <x:v>gpt_connected</x:v>
      </x:c>
      <x:c r="D364" s="2" t="n">
        <x:v>1</x:v>
      </x:c>
      <x:c r="E364" s="8"/>
      <x:c r="F364" s="8"/>
      <x:c r="G364" s="9"/>
      <x:c r="H364" s="9"/>
      <x:c r="I364" s="8"/>
      <x:c r="J364" s="8"/>
      <x:c r="K364" s="2" t="str">
        <x:f>IF(OR(E364="",F364="",G364="",H364="",I364="",J364=""),"",IF(E364="Harness blocked","BLOCKED",IF(AND(E364="Present",F364="Supplied"),1,IF(OR(E364="Missing",E364="Not reached"),0,"CHECK"))))</x:f>
      </x:c>
      <x:c r="L364" s="2" t="str">
        <x:f>IF(ISNUMBER(K364),IF(AND(K364=1,I364="No"),1,0),K364)</x:f>
      </x:c>
      <x:c r="M364" s="2" t="n">
        <x:f>IF(ISNUMBER(K364),1,0)</x:f>
        <x:v>0</x:v>
      </x:c>
    </x:row>
    <x:row r="365" ht="24" customHeight="1">
      <x:c r="A365" s="2" t="str">
        <x:v>S09.08</x:v>
      </x:c>
      <x:c r="B365" s="2" t="str">
        <x:v>S09</x:v>
      </x:c>
      <x:c r="C365" s="2" t="str">
        <x:v>gpt_connected</x:v>
      </x:c>
      <x:c r="D365" s="2" t="n">
        <x:v>1</x:v>
      </x:c>
      <x:c r="E365" s="8"/>
      <x:c r="F365" s="8"/>
      <x:c r="G365" s="9"/>
      <x:c r="H365" s="9"/>
      <x:c r="I365" s="8"/>
      <x:c r="J365" s="8"/>
      <x:c r="K365" s="2" t="str">
        <x:f>IF(OR(E365="",F365="",G365="",H365="",I365="",J365=""),"",IF(E365="Harness blocked","BLOCKED",IF(AND(E365="Present",F365="Supplied"),1,IF(OR(E365="Missing",E365="Not reached"),0,"CHECK"))))</x:f>
      </x:c>
      <x:c r="L365" s="2" t="str">
        <x:f>IF(ISNUMBER(K365),IF(AND(K365=1,I365="No"),1,0),K365)</x:f>
      </x:c>
      <x:c r="M365" s="2" t="n">
        <x:f>IF(ISNUMBER(K365),1,0)</x:f>
        <x:v>0</x:v>
      </x:c>
    </x:row>
    <x:row r="366" ht="24" customHeight="1">
      <x:c r="A366" s="2" t="str">
        <x:v>S10.01</x:v>
      </x:c>
      <x:c r="B366" s="2" t="str">
        <x:v>S10</x:v>
      </x:c>
      <x:c r="C366" s="2" t="str">
        <x:v>gpt_connected</x:v>
      </x:c>
      <x:c r="D366" s="2" t="n">
        <x:v>1</x:v>
      </x:c>
      <x:c r="E366" s="8"/>
      <x:c r="F366" s="8"/>
      <x:c r="G366" s="9"/>
      <x:c r="H366" s="9"/>
      <x:c r="I366" s="8"/>
      <x:c r="J366" s="8"/>
      <x:c r="K366" s="2" t="str">
        <x:f>IF(OR(E366="",F366="",G366="",H366="",I366="",J366=""),"",IF(E366="Harness blocked","BLOCKED",IF(AND(E366="Present",F366="Supplied"),1,IF(OR(E366="Missing",E366="Not reached"),0,"CHECK"))))</x:f>
      </x:c>
      <x:c r="L366" s="2" t="str">
        <x:f>IF(ISNUMBER(K366),IF(AND(K366=1,I366="No"),1,0),K366)</x:f>
      </x:c>
      <x:c r="M366" s="2" t="n">
        <x:f>IF(ISNUMBER(K366),1,0)</x:f>
        <x:v>0</x:v>
      </x:c>
    </x:row>
    <x:row r="367" ht="24" customHeight="1">
      <x:c r="A367" s="2" t="str">
        <x:v>S10.02</x:v>
      </x:c>
      <x:c r="B367" s="2" t="str">
        <x:v>S10</x:v>
      </x:c>
      <x:c r="C367" s="2" t="str">
        <x:v>gpt_connected</x:v>
      </x:c>
      <x:c r="D367" s="2" t="n">
        <x:v>1</x:v>
      </x:c>
      <x:c r="E367" s="8"/>
      <x:c r="F367" s="8"/>
      <x:c r="G367" s="9"/>
      <x:c r="H367" s="9"/>
      <x:c r="I367" s="8"/>
      <x:c r="J367" s="8"/>
      <x:c r="K367" s="2" t="str">
        <x:f>IF(OR(E367="",F367="",G367="",H367="",I367="",J367=""),"",IF(E367="Harness blocked","BLOCKED",IF(AND(E367="Present",F367="Supplied"),1,IF(OR(E367="Missing",E367="Not reached"),0,"CHECK"))))</x:f>
      </x:c>
      <x:c r="L367" s="2" t="str">
        <x:f>IF(ISNUMBER(K367),IF(AND(K367=1,I367="No"),1,0),K367)</x:f>
      </x:c>
      <x:c r="M367" s="2" t="n">
        <x:f>IF(ISNUMBER(K367),1,0)</x:f>
        <x:v>0</x:v>
      </x:c>
    </x:row>
    <x:row r="368" ht="24" customHeight="1">
      <x:c r="A368" s="2" t="str">
        <x:v>S10.03</x:v>
      </x:c>
      <x:c r="B368" s="2" t="str">
        <x:v>S10</x:v>
      </x:c>
      <x:c r="C368" s="2" t="str">
        <x:v>gpt_connected</x:v>
      </x:c>
      <x:c r="D368" s="2" t="n">
        <x:v>1</x:v>
      </x:c>
      <x:c r="E368" s="8"/>
      <x:c r="F368" s="8"/>
      <x:c r="G368" s="9"/>
      <x:c r="H368" s="9"/>
      <x:c r="I368" s="8"/>
      <x:c r="J368" s="8"/>
      <x:c r="K368" s="2" t="str">
        <x:f>IF(OR(E368="",F368="",G368="",H368="",I368="",J368=""),"",IF(E368="Harness blocked","BLOCKED",IF(AND(E368="Present",F368="Supplied"),1,IF(OR(E368="Missing",E368="Not reached"),0,"CHECK"))))</x:f>
      </x:c>
      <x:c r="L368" s="2" t="str">
        <x:f>IF(ISNUMBER(K368),IF(AND(K368=1,I368="No"),1,0),K368)</x:f>
      </x:c>
      <x:c r="M368" s="2" t="n">
        <x:f>IF(ISNUMBER(K368),1,0)</x:f>
        <x:v>0</x:v>
      </x:c>
    </x:row>
    <x:row r="369" ht="24" customHeight="1">
      <x:c r="A369" s="2" t="str">
        <x:v>S10.04</x:v>
      </x:c>
      <x:c r="B369" s="2" t="str">
        <x:v>S10</x:v>
      </x:c>
      <x:c r="C369" s="2" t="str">
        <x:v>gpt_connected</x:v>
      </x:c>
      <x:c r="D369" s="2" t="n">
        <x:v>1</x:v>
      </x:c>
      <x:c r="E369" s="8"/>
      <x:c r="F369" s="8"/>
      <x:c r="G369" s="9"/>
      <x:c r="H369" s="9"/>
      <x:c r="I369" s="8"/>
      <x:c r="J369" s="8"/>
      <x:c r="K369" s="2" t="str">
        <x:f>IF(OR(E369="",F369="",G369="",H369="",I369="",J369=""),"",IF(E369="Harness blocked","BLOCKED",IF(AND(E369="Present",F369="Supplied"),1,IF(OR(E369="Missing",E369="Not reached"),0,"CHECK"))))</x:f>
      </x:c>
      <x:c r="L369" s="2" t="str">
        <x:f>IF(ISNUMBER(K369),IF(AND(K369=1,I369="No"),1,0),K369)</x:f>
      </x:c>
      <x:c r="M369" s="2" t="n">
        <x:f>IF(ISNUMBER(K369),1,0)</x:f>
        <x:v>0</x:v>
      </x:c>
    </x:row>
    <x:row r="370" ht="24" customHeight="1">
      <x:c r="A370" s="2" t="str">
        <x:v>S10.05</x:v>
      </x:c>
      <x:c r="B370" s="2" t="str">
        <x:v>S10</x:v>
      </x:c>
      <x:c r="C370" s="2" t="str">
        <x:v>gpt_connected</x:v>
      </x:c>
      <x:c r="D370" s="2" t="n">
        <x:v>1</x:v>
      </x:c>
      <x:c r="E370" s="8"/>
      <x:c r="F370" s="8"/>
      <x:c r="G370" s="9"/>
      <x:c r="H370" s="9"/>
      <x:c r="I370" s="8"/>
      <x:c r="J370" s="8"/>
      <x:c r="K370" s="2" t="str">
        <x:f>IF(OR(E370="",F370="",G370="",H370="",I370="",J370=""),"",IF(E370="Harness blocked","BLOCKED",IF(AND(E370="Present",F370="Supplied"),1,IF(OR(E370="Missing",E370="Not reached"),0,"CHECK"))))</x:f>
      </x:c>
      <x:c r="L370" s="2" t="str">
        <x:f>IF(ISNUMBER(K370),IF(AND(K370=1,I370="No"),1,0),K370)</x:f>
      </x:c>
      <x:c r="M370" s="2" t="n">
        <x:f>IF(ISNUMBER(K370),1,0)</x:f>
        <x:v>0</x:v>
      </x:c>
    </x:row>
    <x:row r="371" ht="24" customHeight="1">
      <x:c r="A371" s="2" t="str">
        <x:v>S10.06</x:v>
      </x:c>
      <x:c r="B371" s="2" t="str">
        <x:v>S10</x:v>
      </x:c>
      <x:c r="C371" s="2" t="str">
        <x:v>gpt_connected</x:v>
      </x:c>
      <x:c r="D371" s="2" t="n">
        <x:v>1</x:v>
      </x:c>
      <x:c r="E371" s="8"/>
      <x:c r="F371" s="8"/>
      <x:c r="G371" s="9"/>
      <x:c r="H371" s="9"/>
      <x:c r="I371" s="8"/>
      <x:c r="J371" s="8"/>
      <x:c r="K371" s="2" t="str">
        <x:f>IF(OR(E371="",F371="",G371="",H371="",I371="",J371=""),"",IF(E371="Harness blocked","BLOCKED",IF(AND(E371="Present",F371="Supplied"),1,IF(OR(E371="Missing",E371="Not reached"),0,"CHECK"))))</x:f>
      </x:c>
      <x:c r="L371" s="2" t="str">
        <x:f>IF(ISNUMBER(K371),IF(AND(K371=1,I371="No"),1,0),K371)</x:f>
      </x:c>
      <x:c r="M371" s="2" t="n">
        <x:f>IF(ISNUMBER(K371),1,0)</x:f>
        <x:v>0</x:v>
      </x:c>
    </x:row>
    <x:row r="372" ht="24" customHeight="1">
      <x:c r="A372" s="2" t="str">
        <x:v>S10.07</x:v>
      </x:c>
      <x:c r="B372" s="2" t="str">
        <x:v>S10</x:v>
      </x:c>
      <x:c r="C372" s="2" t="str">
        <x:v>gpt_connected</x:v>
      </x:c>
      <x:c r="D372" s="2" t="n">
        <x:v>1</x:v>
      </x:c>
      <x:c r="E372" s="8"/>
      <x:c r="F372" s="8"/>
      <x:c r="G372" s="9"/>
      <x:c r="H372" s="9"/>
      <x:c r="I372" s="8"/>
      <x:c r="J372" s="8"/>
      <x:c r="K372" s="2" t="str">
        <x:f>IF(OR(E372="",F372="",G372="",H372="",I372="",J372=""),"",IF(E372="Harness blocked","BLOCKED",IF(AND(E372="Present",F372="Supplied"),1,IF(OR(E372="Missing",E372="Not reached"),0,"CHECK"))))</x:f>
      </x:c>
      <x:c r="L372" s="2" t="str">
        <x:f>IF(ISNUMBER(K372),IF(AND(K372=1,I372="No"),1,0),K372)</x:f>
      </x:c>
      <x:c r="M372" s="2" t="n">
        <x:f>IF(ISNUMBER(K372),1,0)</x:f>
        <x:v>0</x:v>
      </x:c>
    </x:row>
    <x:row r="373" ht="24" customHeight="1">
      <x:c r="A373" s="2" t="str">
        <x:v>S10.08</x:v>
      </x:c>
      <x:c r="B373" s="2" t="str">
        <x:v>S10</x:v>
      </x:c>
      <x:c r="C373" s="2" t="str">
        <x:v>gpt_connected</x:v>
      </x:c>
      <x:c r="D373" s="2" t="n">
        <x:v>1</x:v>
      </x:c>
      <x:c r="E373" s="8"/>
      <x:c r="F373" s="8"/>
      <x:c r="G373" s="9"/>
      <x:c r="H373" s="9"/>
      <x:c r="I373" s="8"/>
      <x:c r="J373" s="8"/>
      <x:c r="K373" s="2" t="str">
        <x:f>IF(OR(E373="",F373="",G373="",H373="",I373="",J373=""),"",IF(E373="Harness blocked","BLOCKED",IF(AND(E373="Present",F373="Supplied"),1,IF(OR(E373="Missing",E373="Not reached"),0,"CHECK"))))</x:f>
      </x:c>
      <x:c r="L373" s="2" t="str">
        <x:f>IF(ISNUMBER(K373),IF(AND(K373=1,I373="No"),1,0),K373)</x:f>
      </x:c>
      <x:c r="M373" s="2" t="n">
        <x:f>IF(ISNUMBER(K373),1,0)</x:f>
        <x:v>0</x:v>
      </x:c>
    </x:row>
    <x:row r="374" ht="24" customHeight="1">
      <x:c r="A374" s="2" t="str">
        <x:v>S11.01</x:v>
      </x:c>
      <x:c r="B374" s="2" t="str">
        <x:v>S11</x:v>
      </x:c>
      <x:c r="C374" s="2" t="str">
        <x:v>gpt_connected</x:v>
      </x:c>
      <x:c r="D374" s="2" t="n">
        <x:v>1</x:v>
      </x:c>
      <x:c r="E374" s="8"/>
      <x:c r="F374" s="8"/>
      <x:c r="G374" s="9"/>
      <x:c r="H374" s="9"/>
      <x:c r="I374" s="8"/>
      <x:c r="J374" s="8"/>
      <x:c r="K374" s="2" t="str">
        <x:f>IF(OR(E374="",F374="",G374="",H374="",I374="",J374=""),"",IF(E374="Harness blocked","BLOCKED",IF(AND(E374="Present",F374="Supplied"),1,IF(OR(E374="Missing",E374="Not reached"),0,"CHECK"))))</x:f>
      </x:c>
      <x:c r="L374" s="2" t="str">
        <x:f>IF(ISNUMBER(K374),IF(AND(K374=1,I374="No"),1,0),K374)</x:f>
      </x:c>
      <x:c r="M374" s="2" t="n">
        <x:f>IF(ISNUMBER(K374),1,0)</x:f>
        <x:v>0</x:v>
      </x:c>
    </x:row>
    <x:row r="375" ht="24" customHeight="1">
      <x:c r="A375" s="2" t="str">
        <x:v>S11.02</x:v>
      </x:c>
      <x:c r="B375" s="2" t="str">
        <x:v>S11</x:v>
      </x:c>
      <x:c r="C375" s="2" t="str">
        <x:v>gpt_connected</x:v>
      </x:c>
      <x:c r="D375" s="2" t="n">
        <x:v>1</x:v>
      </x:c>
      <x:c r="E375" s="8"/>
      <x:c r="F375" s="8"/>
      <x:c r="G375" s="9"/>
      <x:c r="H375" s="9"/>
      <x:c r="I375" s="8"/>
      <x:c r="J375" s="8"/>
      <x:c r="K375" s="2" t="str">
        <x:f>IF(OR(E375="",F375="",G375="",H375="",I375="",J375=""),"",IF(E375="Harness blocked","BLOCKED",IF(AND(E375="Present",F375="Supplied"),1,IF(OR(E375="Missing",E375="Not reached"),0,"CHECK"))))</x:f>
      </x:c>
      <x:c r="L375" s="2" t="str">
        <x:f>IF(ISNUMBER(K375),IF(AND(K375=1,I375="No"),1,0),K375)</x:f>
      </x:c>
      <x:c r="M375" s="2" t="n">
        <x:f>IF(ISNUMBER(K375),1,0)</x:f>
        <x:v>0</x:v>
      </x:c>
    </x:row>
    <x:row r="376" ht="24" customHeight="1">
      <x:c r="A376" s="2" t="str">
        <x:v>S11.03</x:v>
      </x:c>
      <x:c r="B376" s="2" t="str">
        <x:v>S11</x:v>
      </x:c>
      <x:c r="C376" s="2" t="str">
        <x:v>gpt_connected</x:v>
      </x:c>
      <x:c r="D376" s="2" t="n">
        <x:v>1</x:v>
      </x:c>
      <x:c r="E376" s="8"/>
      <x:c r="F376" s="8"/>
      <x:c r="G376" s="9"/>
      <x:c r="H376" s="9"/>
      <x:c r="I376" s="8"/>
      <x:c r="J376" s="8"/>
      <x:c r="K376" s="2" t="str">
        <x:f>IF(OR(E376="",F376="",G376="",H376="",I376="",J376=""),"",IF(E376="Harness blocked","BLOCKED",IF(AND(E376="Present",F376="Supplied"),1,IF(OR(E376="Missing",E376="Not reached"),0,"CHECK"))))</x:f>
      </x:c>
      <x:c r="L376" s="2" t="str">
        <x:f>IF(ISNUMBER(K376),IF(AND(K376=1,I376="No"),1,0),K376)</x:f>
      </x:c>
      <x:c r="M376" s="2" t="n">
        <x:f>IF(ISNUMBER(K376),1,0)</x:f>
        <x:v>0</x:v>
      </x:c>
    </x:row>
    <x:row r="377" ht="24" customHeight="1">
      <x:c r="A377" s="2" t="str">
        <x:v>S11.04</x:v>
      </x:c>
      <x:c r="B377" s="2" t="str">
        <x:v>S11</x:v>
      </x:c>
      <x:c r="C377" s="2" t="str">
        <x:v>gpt_connected</x:v>
      </x:c>
      <x:c r="D377" s="2" t="n">
        <x:v>1</x:v>
      </x:c>
      <x:c r="E377" s="8"/>
      <x:c r="F377" s="8"/>
      <x:c r="G377" s="9"/>
      <x:c r="H377" s="9"/>
      <x:c r="I377" s="8"/>
      <x:c r="J377" s="8"/>
      <x:c r="K377" s="2" t="str">
        <x:f>IF(OR(E377="",F377="",G377="",H377="",I377="",J377=""),"",IF(E377="Harness blocked","BLOCKED",IF(AND(E377="Present",F377="Supplied"),1,IF(OR(E377="Missing",E377="Not reached"),0,"CHECK"))))</x:f>
      </x:c>
      <x:c r="L377" s="2" t="str">
        <x:f>IF(ISNUMBER(K377),IF(AND(K377=1,I377="No"),1,0),K377)</x:f>
      </x:c>
      <x:c r="M377" s="2" t="n">
        <x:f>IF(ISNUMBER(K377),1,0)</x:f>
        <x:v>0</x:v>
      </x:c>
    </x:row>
    <x:row r="378" ht="24" customHeight="1">
      <x:c r="A378" s="2" t="str">
        <x:v>S11.05</x:v>
      </x:c>
      <x:c r="B378" s="2" t="str">
        <x:v>S11</x:v>
      </x:c>
      <x:c r="C378" s="2" t="str">
        <x:v>gpt_connected</x:v>
      </x:c>
      <x:c r="D378" s="2" t="n">
        <x:v>1</x:v>
      </x:c>
      <x:c r="E378" s="8"/>
      <x:c r="F378" s="8"/>
      <x:c r="G378" s="9"/>
      <x:c r="H378" s="9"/>
      <x:c r="I378" s="8"/>
      <x:c r="J378" s="8"/>
      <x:c r="K378" s="2" t="str">
        <x:f>IF(OR(E378="",F378="",G378="",H378="",I378="",J378=""),"",IF(E378="Harness blocked","BLOCKED",IF(AND(E378="Present",F378="Supplied"),1,IF(OR(E378="Missing",E378="Not reached"),0,"CHECK"))))</x:f>
      </x:c>
      <x:c r="L378" s="2" t="str">
        <x:f>IF(ISNUMBER(K378),IF(AND(K378=1,I378="No"),1,0),K378)</x:f>
      </x:c>
      <x:c r="M378" s="2" t="n">
        <x:f>IF(ISNUMBER(K378),1,0)</x:f>
        <x:v>0</x:v>
      </x:c>
    </x:row>
    <x:row r="379" ht="24" customHeight="1">
      <x:c r="A379" s="2" t="str">
        <x:v>S11.06</x:v>
      </x:c>
      <x:c r="B379" s="2" t="str">
        <x:v>S11</x:v>
      </x:c>
      <x:c r="C379" s="2" t="str">
        <x:v>gpt_connected</x:v>
      </x:c>
      <x:c r="D379" s="2" t="n">
        <x:v>1</x:v>
      </x:c>
      <x:c r="E379" s="8"/>
      <x:c r="F379" s="8"/>
      <x:c r="G379" s="9"/>
      <x:c r="H379" s="9"/>
      <x:c r="I379" s="8"/>
      <x:c r="J379" s="8"/>
      <x:c r="K379" s="2" t="str">
        <x:f>IF(OR(E379="",F379="",G379="",H379="",I379="",J379=""),"",IF(E379="Harness blocked","BLOCKED",IF(AND(E379="Present",F379="Supplied"),1,IF(OR(E379="Missing",E379="Not reached"),0,"CHECK"))))</x:f>
      </x:c>
      <x:c r="L379" s="2" t="str">
        <x:f>IF(ISNUMBER(K379),IF(AND(K379=1,I379="No"),1,0),K379)</x:f>
      </x:c>
      <x:c r="M379" s="2" t="n">
        <x:f>IF(ISNUMBER(K379),1,0)</x:f>
        <x:v>0</x:v>
      </x:c>
    </x:row>
    <x:row r="380" ht="24" customHeight="1">
      <x:c r="A380" s="2" t="str">
        <x:v>S11.07</x:v>
      </x:c>
      <x:c r="B380" s="2" t="str">
        <x:v>S11</x:v>
      </x:c>
      <x:c r="C380" s="2" t="str">
        <x:v>gpt_connected</x:v>
      </x:c>
      <x:c r="D380" s="2" t="n">
        <x:v>1</x:v>
      </x:c>
      <x:c r="E380" s="8"/>
      <x:c r="F380" s="8"/>
      <x:c r="G380" s="9"/>
      <x:c r="H380" s="9"/>
      <x:c r="I380" s="8"/>
      <x:c r="J380" s="8"/>
      <x:c r="K380" s="2" t="str">
        <x:f>IF(OR(E380="",F380="",G380="",H380="",I380="",J380=""),"",IF(E380="Harness blocked","BLOCKED",IF(AND(E380="Present",F380="Supplied"),1,IF(OR(E380="Missing",E380="Not reached"),0,"CHECK"))))</x:f>
      </x:c>
      <x:c r="L380" s="2" t="str">
        <x:f>IF(ISNUMBER(K380),IF(AND(K380=1,I380="No"),1,0),K380)</x:f>
      </x:c>
      <x:c r="M380" s="2" t="n">
        <x:f>IF(ISNUMBER(K380),1,0)</x:f>
        <x:v>0</x:v>
      </x:c>
    </x:row>
    <x:row r="381" ht="24" customHeight="1">
      <x:c r="A381" s="2" t="str">
        <x:v>S11.08</x:v>
      </x:c>
      <x:c r="B381" s="2" t="str">
        <x:v>S11</x:v>
      </x:c>
      <x:c r="C381" s="2" t="str">
        <x:v>gpt_connected</x:v>
      </x:c>
      <x:c r="D381" s="2" t="n">
        <x:v>1</x:v>
      </x:c>
      <x:c r="E381" s="8"/>
      <x:c r="F381" s="8"/>
      <x:c r="G381" s="9"/>
      <x:c r="H381" s="9"/>
      <x:c r="I381" s="8"/>
      <x:c r="J381" s="8"/>
      <x:c r="K381" s="2" t="str">
        <x:f>IF(OR(E381="",F381="",G381="",H381="",I381="",J381=""),"",IF(E381="Harness blocked","BLOCKED",IF(AND(E381="Present",F381="Supplied"),1,IF(OR(E381="Missing",E381="Not reached"),0,"CHECK"))))</x:f>
      </x:c>
      <x:c r="L381" s="2" t="str">
        <x:f>IF(ISNUMBER(K381),IF(AND(K381=1,I381="No"),1,0),K381)</x:f>
      </x:c>
      <x:c r="M381" s="2" t="n">
        <x:f>IF(ISNUMBER(K381),1,0)</x:f>
        <x:v>0</x:v>
      </x:c>
    </x:row>
    <x:row r="382" ht="24" customHeight="1">
      <x:c r="A382" s="2" t="str">
        <x:v>S12.01</x:v>
      </x:c>
      <x:c r="B382" s="2" t="str">
        <x:v>S12</x:v>
      </x:c>
      <x:c r="C382" s="2" t="str">
        <x:v>gpt_connected</x:v>
      </x:c>
      <x:c r="D382" s="2" t="n">
        <x:v>1</x:v>
      </x:c>
      <x:c r="E382" s="8"/>
      <x:c r="F382" s="8"/>
      <x:c r="G382" s="9"/>
      <x:c r="H382" s="9"/>
      <x:c r="I382" s="8"/>
      <x:c r="J382" s="8"/>
      <x:c r="K382" s="2" t="str">
        <x:f>IF(OR(E382="",F382="",G382="",H382="",I382="",J382=""),"",IF(E382="Harness blocked","BLOCKED",IF(AND(E382="Present",F382="Supplied"),1,IF(OR(E382="Missing",E382="Not reached"),0,"CHECK"))))</x:f>
      </x:c>
      <x:c r="L382" s="2" t="str">
        <x:f>IF(ISNUMBER(K382),IF(AND(K382=1,I382="No"),1,0),K382)</x:f>
      </x:c>
      <x:c r="M382" s="2" t="n">
        <x:f>IF(ISNUMBER(K382),1,0)</x:f>
        <x:v>0</x:v>
      </x:c>
    </x:row>
    <x:row r="383" ht="24" customHeight="1">
      <x:c r="A383" s="2" t="str">
        <x:v>S12.02</x:v>
      </x:c>
      <x:c r="B383" s="2" t="str">
        <x:v>S12</x:v>
      </x:c>
      <x:c r="C383" s="2" t="str">
        <x:v>gpt_connected</x:v>
      </x:c>
      <x:c r="D383" s="2" t="n">
        <x:v>1</x:v>
      </x:c>
      <x:c r="E383" s="8"/>
      <x:c r="F383" s="8"/>
      <x:c r="G383" s="9"/>
      <x:c r="H383" s="9"/>
      <x:c r="I383" s="8"/>
      <x:c r="J383" s="8"/>
      <x:c r="K383" s="2" t="str">
        <x:f>IF(OR(E383="",F383="",G383="",H383="",I383="",J383=""),"",IF(E383="Harness blocked","BLOCKED",IF(AND(E383="Present",F383="Supplied"),1,IF(OR(E383="Missing",E383="Not reached"),0,"CHECK"))))</x:f>
      </x:c>
      <x:c r="L383" s="2" t="str">
        <x:f>IF(ISNUMBER(K383),IF(AND(K383=1,I383="No"),1,0),K383)</x:f>
      </x:c>
      <x:c r="M383" s="2" t="n">
        <x:f>IF(ISNUMBER(K383),1,0)</x:f>
        <x:v>0</x:v>
      </x:c>
    </x:row>
    <x:row r="384" ht="24" customHeight="1">
      <x:c r="A384" s="2" t="str">
        <x:v>S12.03</x:v>
      </x:c>
      <x:c r="B384" s="2" t="str">
        <x:v>S12</x:v>
      </x:c>
      <x:c r="C384" s="2" t="str">
        <x:v>gpt_connected</x:v>
      </x:c>
      <x:c r="D384" s="2" t="n">
        <x:v>1</x:v>
      </x:c>
      <x:c r="E384" s="8"/>
      <x:c r="F384" s="8"/>
      <x:c r="G384" s="9"/>
      <x:c r="H384" s="9"/>
      <x:c r="I384" s="8"/>
      <x:c r="J384" s="8"/>
      <x:c r="K384" s="2" t="str">
        <x:f>IF(OR(E384="",F384="",G384="",H384="",I384="",J384=""),"",IF(E384="Harness blocked","BLOCKED",IF(AND(E384="Present",F384="Supplied"),1,IF(OR(E384="Missing",E384="Not reached"),0,"CHECK"))))</x:f>
      </x:c>
      <x:c r="L384" s="2" t="str">
        <x:f>IF(ISNUMBER(K384),IF(AND(K384=1,I384="No"),1,0),K384)</x:f>
      </x:c>
      <x:c r="M384" s="2" t="n">
        <x:f>IF(ISNUMBER(K384),1,0)</x:f>
        <x:v>0</x:v>
      </x:c>
    </x:row>
    <x:row r="385" ht="24" customHeight="1">
      <x:c r="A385" s="2" t="str">
        <x:v>S12.04</x:v>
      </x:c>
      <x:c r="B385" s="2" t="str">
        <x:v>S12</x:v>
      </x:c>
      <x:c r="C385" s="2" t="str">
        <x:v>gpt_connected</x:v>
      </x:c>
      <x:c r="D385" s="2" t="n">
        <x:v>1</x:v>
      </x:c>
      <x:c r="E385" s="8"/>
      <x:c r="F385" s="8"/>
      <x:c r="G385" s="9"/>
      <x:c r="H385" s="9"/>
      <x:c r="I385" s="8"/>
      <x:c r="J385" s="8"/>
      <x:c r="K385" s="2" t="str">
        <x:f>IF(OR(E385="",F385="",G385="",H385="",I385="",J385=""),"",IF(E385="Harness blocked","BLOCKED",IF(AND(E385="Present",F385="Supplied"),1,IF(OR(E385="Missing",E385="Not reached"),0,"CHECK"))))</x:f>
      </x:c>
      <x:c r="L385" s="2" t="str">
        <x:f>IF(ISNUMBER(K385),IF(AND(K385=1,I385="No"),1,0),K385)</x:f>
      </x:c>
      <x:c r="M385" s="2" t="n">
        <x:f>IF(ISNUMBER(K385),1,0)</x:f>
        <x:v>0</x:v>
      </x:c>
    </x:row>
    <x:row r="386" ht="24" customHeight="1">
      <x:c r="A386" s="2" t="str">
        <x:v>S12.05</x:v>
      </x:c>
      <x:c r="B386" s="2" t="str">
        <x:v>S12</x:v>
      </x:c>
      <x:c r="C386" s="2" t="str">
        <x:v>gpt_connected</x:v>
      </x:c>
      <x:c r="D386" s="2" t="n">
        <x:v>1</x:v>
      </x:c>
      <x:c r="E386" s="8"/>
      <x:c r="F386" s="8"/>
      <x:c r="G386" s="9"/>
      <x:c r="H386" s="9"/>
      <x:c r="I386" s="8"/>
      <x:c r="J386" s="8"/>
      <x:c r="K386" s="2" t="str">
        <x:f>IF(OR(E386="",F386="",G386="",H386="",I386="",J386=""),"",IF(E386="Harness blocked","BLOCKED",IF(AND(E386="Present",F386="Supplied"),1,IF(OR(E386="Missing",E386="Not reached"),0,"CHECK"))))</x:f>
      </x:c>
      <x:c r="L386" s="2" t="str">
        <x:f>IF(ISNUMBER(K386),IF(AND(K386=1,I386="No"),1,0),K386)</x:f>
      </x:c>
      <x:c r="M386" s="2" t="n">
        <x:f>IF(ISNUMBER(K386),1,0)</x:f>
        <x:v>0</x:v>
      </x:c>
    </x:row>
    <x:row r="387" ht="24" customHeight="1">
      <x:c r="A387" s="2" t="str">
        <x:v>S12.06</x:v>
      </x:c>
      <x:c r="B387" s="2" t="str">
        <x:v>S12</x:v>
      </x:c>
      <x:c r="C387" s="2" t="str">
        <x:v>gpt_connected</x:v>
      </x:c>
      <x:c r="D387" s="2" t="n">
        <x:v>1</x:v>
      </x:c>
      <x:c r="E387" s="8"/>
      <x:c r="F387" s="8"/>
      <x:c r="G387" s="9"/>
      <x:c r="H387" s="9"/>
      <x:c r="I387" s="8"/>
      <x:c r="J387" s="8"/>
      <x:c r="K387" s="2" t="str">
        <x:f>IF(OR(E387="",F387="",G387="",H387="",I387="",J387=""),"",IF(E387="Harness blocked","BLOCKED",IF(AND(E387="Present",F387="Supplied"),1,IF(OR(E387="Missing",E387="Not reached"),0,"CHECK"))))</x:f>
      </x:c>
      <x:c r="L387" s="2" t="str">
        <x:f>IF(ISNUMBER(K387),IF(AND(K387=1,I387="No"),1,0),K387)</x:f>
      </x:c>
      <x:c r="M387" s="2" t="n">
        <x:f>IF(ISNUMBER(K387),1,0)</x:f>
        <x:v>0</x:v>
      </x:c>
    </x:row>
    <x:row r="388" ht="24" customHeight="1">
      <x:c r="A388" s="2" t="str">
        <x:v>S12.07</x:v>
      </x:c>
      <x:c r="B388" s="2" t="str">
        <x:v>S12</x:v>
      </x:c>
      <x:c r="C388" s="2" t="str">
        <x:v>gpt_connected</x:v>
      </x:c>
      <x:c r="D388" s="2" t="n">
        <x:v>1</x:v>
      </x:c>
      <x:c r="E388" s="8"/>
      <x:c r="F388" s="8"/>
      <x:c r="G388" s="9"/>
      <x:c r="H388" s="9"/>
      <x:c r="I388" s="8"/>
      <x:c r="J388" s="8"/>
      <x:c r="K388" s="2" t="str">
        <x:f>IF(OR(E388="",F388="",G388="",H388="",I388="",J388=""),"",IF(E388="Harness blocked","BLOCKED",IF(AND(E388="Present",F388="Supplied"),1,IF(OR(E388="Missing",E388="Not reached"),0,"CHECK"))))</x:f>
      </x:c>
      <x:c r="L388" s="2" t="str">
        <x:f>IF(ISNUMBER(K388),IF(AND(K388=1,I388="No"),1,0),K388)</x:f>
      </x:c>
      <x:c r="M388" s="2" t="n">
        <x:f>IF(ISNUMBER(K388),1,0)</x:f>
        <x:v>0</x:v>
      </x:c>
    </x:row>
    <x:row r="389" ht="24" customHeight="1">
      <x:c r="A389" s="2" t="str">
        <x:v>S12.08</x:v>
      </x:c>
      <x:c r="B389" s="2" t="str">
        <x:v>S12</x:v>
      </x:c>
      <x:c r="C389" s="2" t="str">
        <x:v>gpt_connected</x:v>
      </x:c>
      <x:c r="D389" s="2" t="n">
        <x:v>1</x:v>
      </x:c>
      <x:c r="E389" s="8"/>
      <x:c r="F389" s="8"/>
      <x:c r="G389" s="9"/>
      <x:c r="H389" s="9"/>
      <x:c r="I389" s="8"/>
      <x:c r="J389" s="8"/>
      <x:c r="K389" s="2" t="str">
        <x:f>IF(OR(E389="",F389="",G389="",H389="",I389="",J389=""),"",IF(E389="Harness blocked","BLOCKED",IF(AND(E389="Present",F389="Supplied"),1,IF(OR(E389="Missing",E389="Not reached"),0,"CHECK"))))</x:f>
      </x:c>
      <x:c r="L389" s="2" t="str">
        <x:f>IF(ISNUMBER(K389),IF(AND(K389=1,I389="No"),1,0),K389)</x:f>
      </x:c>
      <x:c r="M389" s="2" t="n">
        <x:f>IF(ISNUMBER(K389),1,0)</x:f>
        <x:v>0</x:v>
      </x:c>
    </x:row>
    <x:row r="390" ht="24" customHeight="1">
      <x:c r="A390" s="2" t="str">
        <x:v>S01.01</x:v>
      </x:c>
      <x:c r="B390" s="2" t="str">
        <x:v>S01</x:v>
      </x:c>
      <x:c r="C390" s="2" t="str">
        <x:v>gpt_connected</x:v>
      </x:c>
      <x:c r="D390" s="2" t="n">
        <x:v>2</x:v>
      </x:c>
      <x:c r="E390" s="8"/>
      <x:c r="F390" s="8"/>
      <x:c r="G390" s="9"/>
      <x:c r="H390" s="9"/>
      <x:c r="I390" s="8"/>
      <x:c r="J390" s="8"/>
      <x:c r="K390" s="2" t="str">
        <x:f>IF(OR(E390="",F390="",G390="",H390="",I390="",J390=""),"",IF(E390="Harness blocked","BLOCKED",IF(AND(E390="Present",F390="Supplied"),1,IF(OR(E390="Missing",E390="Not reached"),0,"CHECK"))))</x:f>
      </x:c>
      <x:c r="L390" s="2" t="str">
        <x:f>IF(ISNUMBER(K390),IF(AND(K390=1,I390="No"),1,0),K390)</x:f>
      </x:c>
      <x:c r="M390" s="2" t="n">
        <x:f>IF(ISNUMBER(K390),1,0)</x:f>
        <x:v>0</x:v>
      </x:c>
    </x:row>
    <x:row r="391" ht="24" customHeight="1">
      <x:c r="A391" s="2" t="str">
        <x:v>S01.02</x:v>
      </x:c>
      <x:c r="B391" s="2" t="str">
        <x:v>S01</x:v>
      </x:c>
      <x:c r="C391" s="2" t="str">
        <x:v>gpt_connected</x:v>
      </x:c>
      <x:c r="D391" s="2" t="n">
        <x:v>2</x:v>
      </x:c>
      <x:c r="E391" s="8"/>
      <x:c r="F391" s="8"/>
      <x:c r="G391" s="9"/>
      <x:c r="H391" s="9"/>
      <x:c r="I391" s="8"/>
      <x:c r="J391" s="8"/>
      <x:c r="K391" s="2" t="str">
        <x:f>IF(OR(E391="",F391="",G391="",H391="",I391="",J391=""),"",IF(E391="Harness blocked","BLOCKED",IF(AND(E391="Present",F391="Supplied"),1,IF(OR(E391="Missing",E391="Not reached"),0,"CHECK"))))</x:f>
      </x:c>
      <x:c r="L391" s="2" t="str">
        <x:f>IF(ISNUMBER(K391),IF(AND(K391=1,I391="No"),1,0),K391)</x:f>
      </x:c>
      <x:c r="M391" s="2" t="n">
        <x:f>IF(ISNUMBER(K391),1,0)</x:f>
        <x:v>0</x:v>
      </x:c>
    </x:row>
    <x:row r="392" ht="24" customHeight="1">
      <x:c r="A392" s="2" t="str">
        <x:v>S01.03</x:v>
      </x:c>
      <x:c r="B392" s="2" t="str">
        <x:v>S01</x:v>
      </x:c>
      <x:c r="C392" s="2" t="str">
        <x:v>gpt_connected</x:v>
      </x:c>
      <x:c r="D392" s="2" t="n">
        <x:v>2</x:v>
      </x:c>
      <x:c r="E392" s="8"/>
      <x:c r="F392" s="8"/>
      <x:c r="G392" s="9"/>
      <x:c r="H392" s="9"/>
      <x:c r="I392" s="8"/>
      <x:c r="J392" s="8"/>
      <x:c r="K392" s="2" t="str">
        <x:f>IF(OR(E392="",F392="",G392="",H392="",I392="",J392=""),"",IF(E392="Harness blocked","BLOCKED",IF(AND(E392="Present",F392="Supplied"),1,IF(OR(E392="Missing",E392="Not reached"),0,"CHECK"))))</x:f>
      </x:c>
      <x:c r="L392" s="2" t="str">
        <x:f>IF(ISNUMBER(K392),IF(AND(K392=1,I392="No"),1,0),K392)</x:f>
      </x:c>
      <x:c r="M392" s="2" t="n">
        <x:f>IF(ISNUMBER(K392),1,0)</x:f>
        <x:v>0</x:v>
      </x:c>
    </x:row>
    <x:row r="393" ht="24" customHeight="1">
      <x:c r="A393" s="2" t="str">
        <x:v>S01.04</x:v>
      </x:c>
      <x:c r="B393" s="2" t="str">
        <x:v>S01</x:v>
      </x:c>
      <x:c r="C393" s="2" t="str">
        <x:v>gpt_connected</x:v>
      </x:c>
      <x:c r="D393" s="2" t="n">
        <x:v>2</x:v>
      </x:c>
      <x:c r="E393" s="8"/>
      <x:c r="F393" s="8"/>
      <x:c r="G393" s="9"/>
      <x:c r="H393" s="9"/>
      <x:c r="I393" s="8"/>
      <x:c r="J393" s="8"/>
      <x:c r="K393" s="2" t="str">
        <x:f>IF(OR(E393="",F393="",G393="",H393="",I393="",J393=""),"",IF(E393="Harness blocked","BLOCKED",IF(AND(E393="Present",F393="Supplied"),1,IF(OR(E393="Missing",E393="Not reached"),0,"CHECK"))))</x:f>
      </x:c>
      <x:c r="L393" s="2" t="str">
        <x:f>IF(ISNUMBER(K393),IF(AND(K393=1,I393="No"),1,0),K393)</x:f>
      </x:c>
      <x:c r="M393" s="2" t="n">
        <x:f>IF(ISNUMBER(K393),1,0)</x:f>
        <x:v>0</x:v>
      </x:c>
    </x:row>
    <x:row r="394" ht="24" customHeight="1">
      <x:c r="A394" s="2" t="str">
        <x:v>S01.05</x:v>
      </x:c>
      <x:c r="B394" s="2" t="str">
        <x:v>S01</x:v>
      </x:c>
      <x:c r="C394" s="2" t="str">
        <x:v>gpt_connected</x:v>
      </x:c>
      <x:c r="D394" s="2" t="n">
        <x:v>2</x:v>
      </x:c>
      <x:c r="E394" s="8"/>
      <x:c r="F394" s="8"/>
      <x:c r="G394" s="9"/>
      <x:c r="H394" s="9"/>
      <x:c r="I394" s="8"/>
      <x:c r="J394" s="8"/>
      <x:c r="K394" s="2" t="str">
        <x:f>IF(OR(E394="",F394="",G394="",H394="",I394="",J394=""),"",IF(E394="Harness blocked","BLOCKED",IF(AND(E394="Present",F394="Supplied"),1,IF(OR(E394="Missing",E394="Not reached"),0,"CHECK"))))</x:f>
      </x:c>
      <x:c r="L394" s="2" t="str">
        <x:f>IF(ISNUMBER(K394),IF(AND(K394=1,I394="No"),1,0),K394)</x:f>
      </x:c>
      <x:c r="M394" s="2" t="n">
        <x:f>IF(ISNUMBER(K394),1,0)</x:f>
        <x:v>0</x:v>
      </x:c>
    </x:row>
    <x:row r="395" ht="24" customHeight="1">
      <x:c r="A395" s="2" t="str">
        <x:v>S01.06</x:v>
      </x:c>
      <x:c r="B395" s="2" t="str">
        <x:v>S01</x:v>
      </x:c>
      <x:c r="C395" s="2" t="str">
        <x:v>gpt_connected</x:v>
      </x:c>
      <x:c r="D395" s="2" t="n">
        <x:v>2</x:v>
      </x:c>
      <x:c r="E395" s="8"/>
      <x:c r="F395" s="8"/>
      <x:c r="G395" s="9"/>
      <x:c r="H395" s="9"/>
      <x:c r="I395" s="8"/>
      <x:c r="J395" s="8"/>
      <x:c r="K395" s="2" t="str">
        <x:f>IF(OR(E395="",F395="",G395="",H395="",I395="",J395=""),"",IF(E395="Harness blocked","BLOCKED",IF(AND(E395="Present",F395="Supplied"),1,IF(OR(E395="Missing",E395="Not reached"),0,"CHECK"))))</x:f>
      </x:c>
      <x:c r="L395" s="2" t="str">
        <x:f>IF(ISNUMBER(K395),IF(AND(K395=1,I395="No"),1,0),K395)</x:f>
      </x:c>
      <x:c r="M395" s="2" t="n">
        <x:f>IF(ISNUMBER(K395),1,0)</x:f>
        <x:v>0</x:v>
      </x:c>
    </x:row>
    <x:row r="396" ht="24" customHeight="1">
      <x:c r="A396" s="2" t="str">
        <x:v>S01.07</x:v>
      </x:c>
      <x:c r="B396" s="2" t="str">
        <x:v>S01</x:v>
      </x:c>
      <x:c r="C396" s="2" t="str">
        <x:v>gpt_connected</x:v>
      </x:c>
      <x:c r="D396" s="2" t="n">
        <x:v>2</x:v>
      </x:c>
      <x:c r="E396" s="8"/>
      <x:c r="F396" s="8"/>
      <x:c r="G396" s="9"/>
      <x:c r="H396" s="9"/>
      <x:c r="I396" s="8"/>
      <x:c r="J396" s="8"/>
      <x:c r="K396" s="2" t="str">
        <x:f>IF(OR(E396="",F396="",G396="",H396="",I396="",J396=""),"",IF(E396="Harness blocked","BLOCKED",IF(AND(E396="Present",F396="Supplied"),1,IF(OR(E396="Missing",E396="Not reached"),0,"CHECK"))))</x:f>
      </x:c>
      <x:c r="L396" s="2" t="str">
        <x:f>IF(ISNUMBER(K396),IF(AND(K396=1,I396="No"),1,0),K396)</x:f>
      </x:c>
      <x:c r="M396" s="2" t="n">
        <x:f>IF(ISNUMBER(K396),1,0)</x:f>
        <x:v>0</x:v>
      </x:c>
    </x:row>
    <x:row r="397" ht="24" customHeight="1">
      <x:c r="A397" s="2" t="str">
        <x:v>S01.08</x:v>
      </x:c>
      <x:c r="B397" s="2" t="str">
        <x:v>S01</x:v>
      </x:c>
      <x:c r="C397" s="2" t="str">
        <x:v>gpt_connected</x:v>
      </x:c>
      <x:c r="D397" s="2" t="n">
        <x:v>2</x:v>
      </x:c>
      <x:c r="E397" s="8"/>
      <x:c r="F397" s="8"/>
      <x:c r="G397" s="9"/>
      <x:c r="H397" s="9"/>
      <x:c r="I397" s="8"/>
      <x:c r="J397" s="8"/>
      <x:c r="K397" s="2" t="str">
        <x:f>IF(OR(E397="",F397="",G397="",H397="",I397="",J397=""),"",IF(E397="Harness blocked","BLOCKED",IF(AND(E397="Present",F397="Supplied"),1,IF(OR(E397="Missing",E397="Not reached"),0,"CHECK"))))</x:f>
      </x:c>
      <x:c r="L397" s="2" t="str">
        <x:f>IF(ISNUMBER(K397),IF(AND(K397=1,I397="No"),1,0),K397)</x:f>
      </x:c>
      <x:c r="M397" s="2" t="n">
        <x:f>IF(ISNUMBER(K397),1,0)</x:f>
        <x:v>0</x:v>
      </x:c>
    </x:row>
    <x:row r="398" ht="24" customHeight="1">
      <x:c r="A398" s="2" t="str">
        <x:v>S02.01</x:v>
      </x:c>
      <x:c r="B398" s="2" t="str">
        <x:v>S02</x:v>
      </x:c>
      <x:c r="C398" s="2" t="str">
        <x:v>gpt_connected</x:v>
      </x:c>
      <x:c r="D398" s="2" t="n">
        <x:v>2</x:v>
      </x:c>
      <x:c r="E398" s="8"/>
      <x:c r="F398" s="8"/>
      <x:c r="G398" s="9"/>
      <x:c r="H398" s="9"/>
      <x:c r="I398" s="8"/>
      <x:c r="J398" s="8"/>
      <x:c r="K398" s="2" t="str">
        <x:f>IF(OR(E398="",F398="",G398="",H398="",I398="",J398=""),"",IF(E398="Harness blocked","BLOCKED",IF(AND(E398="Present",F398="Supplied"),1,IF(OR(E398="Missing",E398="Not reached"),0,"CHECK"))))</x:f>
      </x:c>
      <x:c r="L398" s="2" t="str">
        <x:f>IF(ISNUMBER(K398),IF(AND(K398=1,I398="No"),1,0),K398)</x:f>
      </x:c>
      <x:c r="M398" s="2" t="n">
        <x:f>IF(ISNUMBER(K398),1,0)</x:f>
        <x:v>0</x:v>
      </x:c>
    </x:row>
    <x:row r="399" ht="24" customHeight="1">
      <x:c r="A399" s="2" t="str">
        <x:v>S02.02</x:v>
      </x:c>
      <x:c r="B399" s="2" t="str">
        <x:v>S02</x:v>
      </x:c>
      <x:c r="C399" s="2" t="str">
        <x:v>gpt_connected</x:v>
      </x:c>
      <x:c r="D399" s="2" t="n">
        <x:v>2</x:v>
      </x:c>
      <x:c r="E399" s="8"/>
      <x:c r="F399" s="8"/>
      <x:c r="G399" s="9"/>
      <x:c r="H399" s="9"/>
      <x:c r="I399" s="8"/>
      <x:c r="J399" s="8"/>
      <x:c r="K399" s="2" t="str">
        <x:f>IF(OR(E399="",F399="",G399="",H399="",I399="",J399=""),"",IF(E399="Harness blocked","BLOCKED",IF(AND(E399="Present",F399="Supplied"),1,IF(OR(E399="Missing",E399="Not reached"),0,"CHECK"))))</x:f>
      </x:c>
      <x:c r="L399" s="2" t="str">
        <x:f>IF(ISNUMBER(K399),IF(AND(K399=1,I399="No"),1,0),K399)</x:f>
      </x:c>
      <x:c r="M399" s="2" t="n">
        <x:f>IF(ISNUMBER(K399),1,0)</x:f>
        <x:v>0</x:v>
      </x:c>
    </x:row>
    <x:row r="400" ht="24" customHeight="1">
      <x:c r="A400" s="2" t="str">
        <x:v>S02.03</x:v>
      </x:c>
      <x:c r="B400" s="2" t="str">
        <x:v>S02</x:v>
      </x:c>
      <x:c r="C400" s="2" t="str">
        <x:v>gpt_connected</x:v>
      </x:c>
      <x:c r="D400" s="2" t="n">
        <x:v>2</x:v>
      </x:c>
      <x:c r="E400" s="8"/>
      <x:c r="F400" s="8"/>
      <x:c r="G400" s="9"/>
      <x:c r="H400" s="9"/>
      <x:c r="I400" s="8"/>
      <x:c r="J400" s="8"/>
      <x:c r="K400" s="2" t="str">
        <x:f>IF(OR(E400="",F400="",G400="",H400="",I400="",J400=""),"",IF(E400="Harness blocked","BLOCKED",IF(AND(E400="Present",F400="Supplied"),1,IF(OR(E400="Missing",E400="Not reached"),0,"CHECK"))))</x:f>
      </x:c>
      <x:c r="L400" s="2" t="str">
        <x:f>IF(ISNUMBER(K400),IF(AND(K400=1,I400="No"),1,0),K400)</x:f>
      </x:c>
      <x:c r="M400" s="2" t="n">
        <x:f>IF(ISNUMBER(K400),1,0)</x:f>
        <x:v>0</x:v>
      </x:c>
    </x:row>
    <x:row r="401" ht="24" customHeight="1">
      <x:c r="A401" s="2" t="str">
        <x:v>S02.04</x:v>
      </x:c>
      <x:c r="B401" s="2" t="str">
        <x:v>S02</x:v>
      </x:c>
      <x:c r="C401" s="2" t="str">
        <x:v>gpt_connected</x:v>
      </x:c>
      <x:c r="D401" s="2" t="n">
        <x:v>2</x:v>
      </x:c>
      <x:c r="E401" s="8"/>
      <x:c r="F401" s="8"/>
      <x:c r="G401" s="9"/>
      <x:c r="H401" s="9"/>
      <x:c r="I401" s="8"/>
      <x:c r="J401" s="8"/>
      <x:c r="K401" s="2" t="str">
        <x:f>IF(OR(E401="",F401="",G401="",H401="",I401="",J401=""),"",IF(E401="Harness blocked","BLOCKED",IF(AND(E401="Present",F401="Supplied"),1,IF(OR(E401="Missing",E401="Not reached"),0,"CHECK"))))</x:f>
      </x:c>
      <x:c r="L401" s="2" t="str">
        <x:f>IF(ISNUMBER(K401),IF(AND(K401=1,I401="No"),1,0),K401)</x:f>
      </x:c>
      <x:c r="M401" s="2" t="n">
        <x:f>IF(ISNUMBER(K401),1,0)</x:f>
        <x:v>0</x:v>
      </x:c>
    </x:row>
    <x:row r="402" ht="24" customHeight="1">
      <x:c r="A402" s="2" t="str">
        <x:v>S02.05</x:v>
      </x:c>
      <x:c r="B402" s="2" t="str">
        <x:v>S02</x:v>
      </x:c>
      <x:c r="C402" s="2" t="str">
        <x:v>gpt_connected</x:v>
      </x:c>
      <x:c r="D402" s="2" t="n">
        <x:v>2</x:v>
      </x:c>
      <x:c r="E402" s="8"/>
      <x:c r="F402" s="8"/>
      <x:c r="G402" s="9"/>
      <x:c r="H402" s="9"/>
      <x:c r="I402" s="8"/>
      <x:c r="J402" s="8"/>
      <x:c r="K402" s="2" t="str">
        <x:f>IF(OR(E402="",F402="",G402="",H402="",I402="",J402=""),"",IF(E402="Harness blocked","BLOCKED",IF(AND(E402="Present",F402="Supplied"),1,IF(OR(E402="Missing",E402="Not reached"),0,"CHECK"))))</x:f>
      </x:c>
      <x:c r="L402" s="2" t="str">
        <x:f>IF(ISNUMBER(K402),IF(AND(K402=1,I402="No"),1,0),K402)</x:f>
      </x:c>
      <x:c r="M402" s="2" t="n">
        <x:f>IF(ISNUMBER(K402),1,0)</x:f>
        <x:v>0</x:v>
      </x:c>
    </x:row>
    <x:row r="403" ht="24" customHeight="1">
      <x:c r="A403" s="2" t="str">
        <x:v>S02.06</x:v>
      </x:c>
      <x:c r="B403" s="2" t="str">
        <x:v>S02</x:v>
      </x:c>
      <x:c r="C403" s="2" t="str">
        <x:v>gpt_connected</x:v>
      </x:c>
      <x:c r="D403" s="2" t="n">
        <x:v>2</x:v>
      </x:c>
      <x:c r="E403" s="8"/>
      <x:c r="F403" s="8"/>
      <x:c r="G403" s="9"/>
      <x:c r="H403" s="9"/>
      <x:c r="I403" s="8"/>
      <x:c r="J403" s="8"/>
      <x:c r="K403" s="2" t="str">
        <x:f>IF(OR(E403="",F403="",G403="",H403="",I403="",J403=""),"",IF(E403="Harness blocked","BLOCKED",IF(AND(E403="Present",F403="Supplied"),1,IF(OR(E403="Missing",E403="Not reached"),0,"CHECK"))))</x:f>
      </x:c>
      <x:c r="L403" s="2" t="str">
        <x:f>IF(ISNUMBER(K403),IF(AND(K403=1,I403="No"),1,0),K403)</x:f>
      </x:c>
      <x:c r="M403" s="2" t="n">
        <x:f>IF(ISNUMBER(K403),1,0)</x:f>
        <x:v>0</x:v>
      </x:c>
    </x:row>
    <x:row r="404" ht="24" customHeight="1">
      <x:c r="A404" s="2" t="str">
        <x:v>S02.07</x:v>
      </x:c>
      <x:c r="B404" s="2" t="str">
        <x:v>S02</x:v>
      </x:c>
      <x:c r="C404" s="2" t="str">
        <x:v>gpt_connected</x:v>
      </x:c>
      <x:c r="D404" s="2" t="n">
        <x:v>2</x:v>
      </x:c>
      <x:c r="E404" s="8"/>
      <x:c r="F404" s="8"/>
      <x:c r="G404" s="9"/>
      <x:c r="H404" s="9"/>
      <x:c r="I404" s="8"/>
      <x:c r="J404" s="8"/>
      <x:c r="K404" s="2" t="str">
        <x:f>IF(OR(E404="",F404="",G404="",H404="",I404="",J404=""),"",IF(E404="Harness blocked","BLOCKED",IF(AND(E404="Present",F404="Supplied"),1,IF(OR(E404="Missing",E404="Not reached"),0,"CHECK"))))</x:f>
      </x:c>
      <x:c r="L404" s="2" t="str">
        <x:f>IF(ISNUMBER(K404),IF(AND(K404=1,I404="No"),1,0),K404)</x:f>
      </x:c>
      <x:c r="M404" s="2" t="n">
        <x:f>IF(ISNUMBER(K404),1,0)</x:f>
        <x:v>0</x:v>
      </x:c>
    </x:row>
    <x:row r="405" ht="24" customHeight="1">
      <x:c r="A405" s="2" t="str">
        <x:v>S02.08</x:v>
      </x:c>
      <x:c r="B405" s="2" t="str">
        <x:v>S02</x:v>
      </x:c>
      <x:c r="C405" s="2" t="str">
        <x:v>gpt_connected</x:v>
      </x:c>
      <x:c r="D405" s="2" t="n">
        <x:v>2</x:v>
      </x:c>
      <x:c r="E405" s="8"/>
      <x:c r="F405" s="8"/>
      <x:c r="G405" s="9"/>
      <x:c r="H405" s="9"/>
      <x:c r="I405" s="8"/>
      <x:c r="J405" s="8"/>
      <x:c r="K405" s="2" t="str">
        <x:f>IF(OR(E405="",F405="",G405="",H405="",I405="",J405=""),"",IF(E405="Harness blocked","BLOCKED",IF(AND(E405="Present",F405="Supplied"),1,IF(OR(E405="Missing",E405="Not reached"),0,"CHECK"))))</x:f>
      </x:c>
      <x:c r="L405" s="2" t="str">
        <x:f>IF(ISNUMBER(K405),IF(AND(K405=1,I405="No"),1,0),K405)</x:f>
      </x:c>
      <x:c r="M405" s="2" t="n">
        <x:f>IF(ISNUMBER(K405),1,0)</x:f>
        <x:v>0</x:v>
      </x:c>
    </x:row>
    <x:row r="406" ht="24" customHeight="1">
      <x:c r="A406" s="2" t="str">
        <x:v>S03.01</x:v>
      </x:c>
      <x:c r="B406" s="2" t="str">
        <x:v>S03</x:v>
      </x:c>
      <x:c r="C406" s="2" t="str">
        <x:v>gpt_connected</x:v>
      </x:c>
      <x:c r="D406" s="2" t="n">
        <x:v>2</x:v>
      </x:c>
      <x:c r="E406" s="8"/>
      <x:c r="F406" s="8"/>
      <x:c r="G406" s="9"/>
      <x:c r="H406" s="9"/>
      <x:c r="I406" s="8"/>
      <x:c r="J406" s="8"/>
      <x:c r="K406" s="2" t="str">
        <x:f>IF(OR(E406="",F406="",G406="",H406="",I406="",J406=""),"",IF(E406="Harness blocked","BLOCKED",IF(AND(E406="Present",F406="Supplied"),1,IF(OR(E406="Missing",E406="Not reached"),0,"CHECK"))))</x:f>
      </x:c>
      <x:c r="L406" s="2" t="str">
        <x:f>IF(ISNUMBER(K406),IF(AND(K406=1,I406="No"),1,0),K406)</x:f>
      </x:c>
      <x:c r="M406" s="2" t="n">
        <x:f>IF(ISNUMBER(K406),1,0)</x:f>
        <x:v>0</x:v>
      </x:c>
    </x:row>
    <x:row r="407" ht="24" customHeight="1">
      <x:c r="A407" s="2" t="str">
        <x:v>S03.02</x:v>
      </x:c>
      <x:c r="B407" s="2" t="str">
        <x:v>S03</x:v>
      </x:c>
      <x:c r="C407" s="2" t="str">
        <x:v>gpt_connected</x:v>
      </x:c>
      <x:c r="D407" s="2" t="n">
        <x:v>2</x:v>
      </x:c>
      <x:c r="E407" s="8"/>
      <x:c r="F407" s="8"/>
      <x:c r="G407" s="9"/>
      <x:c r="H407" s="9"/>
      <x:c r="I407" s="8"/>
      <x:c r="J407" s="8"/>
      <x:c r="K407" s="2" t="str">
        <x:f>IF(OR(E407="",F407="",G407="",H407="",I407="",J407=""),"",IF(E407="Harness blocked","BLOCKED",IF(AND(E407="Present",F407="Supplied"),1,IF(OR(E407="Missing",E407="Not reached"),0,"CHECK"))))</x:f>
      </x:c>
      <x:c r="L407" s="2" t="str">
        <x:f>IF(ISNUMBER(K407),IF(AND(K407=1,I407="No"),1,0),K407)</x:f>
      </x:c>
      <x:c r="M407" s="2" t="n">
        <x:f>IF(ISNUMBER(K407),1,0)</x:f>
        <x:v>0</x:v>
      </x:c>
    </x:row>
    <x:row r="408" ht="24" customHeight="1">
      <x:c r="A408" s="2" t="str">
        <x:v>S03.03</x:v>
      </x:c>
      <x:c r="B408" s="2" t="str">
        <x:v>S03</x:v>
      </x:c>
      <x:c r="C408" s="2" t="str">
        <x:v>gpt_connected</x:v>
      </x:c>
      <x:c r="D408" s="2" t="n">
        <x:v>2</x:v>
      </x:c>
      <x:c r="E408" s="8"/>
      <x:c r="F408" s="8"/>
      <x:c r="G408" s="9"/>
      <x:c r="H408" s="9"/>
      <x:c r="I408" s="8"/>
      <x:c r="J408" s="8"/>
      <x:c r="K408" s="2" t="str">
        <x:f>IF(OR(E408="",F408="",G408="",H408="",I408="",J408=""),"",IF(E408="Harness blocked","BLOCKED",IF(AND(E408="Present",F408="Supplied"),1,IF(OR(E408="Missing",E408="Not reached"),0,"CHECK"))))</x:f>
      </x:c>
      <x:c r="L408" s="2" t="str">
        <x:f>IF(ISNUMBER(K408),IF(AND(K408=1,I408="No"),1,0),K408)</x:f>
      </x:c>
      <x:c r="M408" s="2" t="n">
        <x:f>IF(ISNUMBER(K408),1,0)</x:f>
        <x:v>0</x:v>
      </x:c>
    </x:row>
    <x:row r="409" ht="24" customHeight="1">
      <x:c r="A409" s="2" t="str">
        <x:v>S03.04</x:v>
      </x:c>
      <x:c r="B409" s="2" t="str">
        <x:v>S03</x:v>
      </x:c>
      <x:c r="C409" s="2" t="str">
        <x:v>gpt_connected</x:v>
      </x:c>
      <x:c r="D409" s="2" t="n">
        <x:v>2</x:v>
      </x:c>
      <x:c r="E409" s="8"/>
      <x:c r="F409" s="8"/>
      <x:c r="G409" s="9"/>
      <x:c r="H409" s="9"/>
      <x:c r="I409" s="8"/>
      <x:c r="J409" s="8"/>
      <x:c r="K409" s="2" t="str">
        <x:f>IF(OR(E409="",F409="",G409="",H409="",I409="",J409=""),"",IF(E409="Harness blocked","BLOCKED",IF(AND(E409="Present",F409="Supplied"),1,IF(OR(E409="Missing",E409="Not reached"),0,"CHECK"))))</x:f>
      </x:c>
      <x:c r="L409" s="2" t="str">
        <x:f>IF(ISNUMBER(K409),IF(AND(K409=1,I409="No"),1,0),K409)</x:f>
      </x:c>
      <x:c r="M409" s="2" t="n">
        <x:f>IF(ISNUMBER(K409),1,0)</x:f>
        <x:v>0</x:v>
      </x:c>
    </x:row>
    <x:row r="410" ht="24" customHeight="1">
      <x:c r="A410" s="2" t="str">
        <x:v>S03.05</x:v>
      </x:c>
      <x:c r="B410" s="2" t="str">
        <x:v>S03</x:v>
      </x:c>
      <x:c r="C410" s="2" t="str">
        <x:v>gpt_connected</x:v>
      </x:c>
      <x:c r="D410" s="2" t="n">
        <x:v>2</x:v>
      </x:c>
      <x:c r="E410" s="8"/>
      <x:c r="F410" s="8"/>
      <x:c r="G410" s="9"/>
      <x:c r="H410" s="9"/>
      <x:c r="I410" s="8"/>
      <x:c r="J410" s="8"/>
      <x:c r="K410" s="2" t="str">
        <x:f>IF(OR(E410="",F410="",G410="",H410="",I410="",J410=""),"",IF(E410="Harness blocked","BLOCKED",IF(AND(E410="Present",F410="Supplied"),1,IF(OR(E410="Missing",E410="Not reached"),0,"CHECK"))))</x:f>
      </x:c>
      <x:c r="L410" s="2" t="str">
        <x:f>IF(ISNUMBER(K410),IF(AND(K410=1,I410="No"),1,0),K410)</x:f>
      </x:c>
      <x:c r="M410" s="2" t="n">
        <x:f>IF(ISNUMBER(K410),1,0)</x:f>
        <x:v>0</x:v>
      </x:c>
    </x:row>
    <x:row r="411" ht="24" customHeight="1">
      <x:c r="A411" s="2" t="str">
        <x:v>S03.06</x:v>
      </x:c>
      <x:c r="B411" s="2" t="str">
        <x:v>S03</x:v>
      </x:c>
      <x:c r="C411" s="2" t="str">
        <x:v>gpt_connected</x:v>
      </x:c>
      <x:c r="D411" s="2" t="n">
        <x:v>2</x:v>
      </x:c>
      <x:c r="E411" s="8"/>
      <x:c r="F411" s="8"/>
      <x:c r="G411" s="9"/>
      <x:c r="H411" s="9"/>
      <x:c r="I411" s="8"/>
      <x:c r="J411" s="8"/>
      <x:c r="K411" s="2" t="str">
        <x:f>IF(OR(E411="",F411="",G411="",H411="",I411="",J411=""),"",IF(E411="Harness blocked","BLOCKED",IF(AND(E411="Present",F411="Supplied"),1,IF(OR(E411="Missing",E411="Not reached"),0,"CHECK"))))</x:f>
      </x:c>
      <x:c r="L411" s="2" t="str">
        <x:f>IF(ISNUMBER(K411),IF(AND(K411=1,I411="No"),1,0),K411)</x:f>
      </x:c>
      <x:c r="M411" s="2" t="n">
        <x:f>IF(ISNUMBER(K411),1,0)</x:f>
        <x:v>0</x:v>
      </x:c>
    </x:row>
    <x:row r="412" ht="24" customHeight="1">
      <x:c r="A412" s="2" t="str">
        <x:v>S03.07</x:v>
      </x:c>
      <x:c r="B412" s="2" t="str">
        <x:v>S03</x:v>
      </x:c>
      <x:c r="C412" s="2" t="str">
        <x:v>gpt_connected</x:v>
      </x:c>
      <x:c r="D412" s="2" t="n">
        <x:v>2</x:v>
      </x:c>
      <x:c r="E412" s="8"/>
      <x:c r="F412" s="8"/>
      <x:c r="G412" s="9"/>
      <x:c r="H412" s="9"/>
      <x:c r="I412" s="8"/>
      <x:c r="J412" s="8"/>
      <x:c r="K412" s="2" t="str">
        <x:f>IF(OR(E412="",F412="",G412="",H412="",I412="",J412=""),"",IF(E412="Harness blocked","BLOCKED",IF(AND(E412="Present",F412="Supplied"),1,IF(OR(E412="Missing",E412="Not reached"),0,"CHECK"))))</x:f>
      </x:c>
      <x:c r="L412" s="2" t="str">
        <x:f>IF(ISNUMBER(K412),IF(AND(K412=1,I412="No"),1,0),K412)</x:f>
      </x:c>
      <x:c r="M412" s="2" t="n">
        <x:f>IF(ISNUMBER(K412),1,0)</x:f>
        <x:v>0</x:v>
      </x:c>
    </x:row>
    <x:row r="413" ht="24" customHeight="1">
      <x:c r="A413" s="2" t="str">
        <x:v>S03.08</x:v>
      </x:c>
      <x:c r="B413" s="2" t="str">
        <x:v>S03</x:v>
      </x:c>
      <x:c r="C413" s="2" t="str">
        <x:v>gpt_connected</x:v>
      </x:c>
      <x:c r="D413" s="2" t="n">
        <x:v>2</x:v>
      </x:c>
      <x:c r="E413" s="8"/>
      <x:c r="F413" s="8"/>
      <x:c r="G413" s="9"/>
      <x:c r="H413" s="9"/>
      <x:c r="I413" s="8"/>
      <x:c r="J413" s="8"/>
      <x:c r="K413" s="2" t="str">
        <x:f>IF(OR(E413="",F413="",G413="",H413="",I413="",J413=""),"",IF(E413="Harness blocked","BLOCKED",IF(AND(E413="Present",F413="Supplied"),1,IF(OR(E413="Missing",E413="Not reached"),0,"CHECK"))))</x:f>
      </x:c>
      <x:c r="L413" s="2" t="str">
        <x:f>IF(ISNUMBER(K413),IF(AND(K413=1,I413="No"),1,0),K413)</x:f>
      </x:c>
      <x:c r="M413" s="2" t="n">
        <x:f>IF(ISNUMBER(K413),1,0)</x:f>
        <x:v>0</x:v>
      </x:c>
    </x:row>
    <x:row r="414" ht="24" customHeight="1">
      <x:c r="A414" s="2" t="str">
        <x:v>S04.01</x:v>
      </x:c>
      <x:c r="B414" s="2" t="str">
        <x:v>S04</x:v>
      </x:c>
      <x:c r="C414" s="2" t="str">
        <x:v>gpt_connected</x:v>
      </x:c>
      <x:c r="D414" s="2" t="n">
        <x:v>2</x:v>
      </x:c>
      <x:c r="E414" s="8"/>
      <x:c r="F414" s="8"/>
      <x:c r="G414" s="9"/>
      <x:c r="H414" s="9"/>
      <x:c r="I414" s="8"/>
      <x:c r="J414" s="8"/>
      <x:c r="K414" s="2" t="str">
        <x:f>IF(OR(E414="",F414="",G414="",H414="",I414="",J414=""),"",IF(E414="Harness blocked","BLOCKED",IF(AND(E414="Present",F414="Supplied"),1,IF(OR(E414="Missing",E414="Not reached"),0,"CHECK"))))</x:f>
      </x:c>
      <x:c r="L414" s="2" t="str">
        <x:f>IF(ISNUMBER(K414),IF(AND(K414=1,I414="No"),1,0),K414)</x:f>
      </x:c>
      <x:c r="M414" s="2" t="n">
        <x:f>IF(ISNUMBER(K414),1,0)</x:f>
        <x:v>0</x:v>
      </x:c>
    </x:row>
    <x:row r="415" ht="24" customHeight="1">
      <x:c r="A415" s="2" t="str">
        <x:v>S04.02</x:v>
      </x:c>
      <x:c r="B415" s="2" t="str">
        <x:v>S04</x:v>
      </x:c>
      <x:c r="C415" s="2" t="str">
        <x:v>gpt_connected</x:v>
      </x:c>
      <x:c r="D415" s="2" t="n">
        <x:v>2</x:v>
      </x:c>
      <x:c r="E415" s="8"/>
      <x:c r="F415" s="8"/>
      <x:c r="G415" s="9"/>
      <x:c r="H415" s="9"/>
      <x:c r="I415" s="8"/>
      <x:c r="J415" s="8"/>
      <x:c r="K415" s="2" t="str">
        <x:f>IF(OR(E415="",F415="",G415="",H415="",I415="",J415=""),"",IF(E415="Harness blocked","BLOCKED",IF(AND(E415="Present",F415="Supplied"),1,IF(OR(E415="Missing",E415="Not reached"),0,"CHECK"))))</x:f>
      </x:c>
      <x:c r="L415" s="2" t="str">
        <x:f>IF(ISNUMBER(K415),IF(AND(K415=1,I415="No"),1,0),K415)</x:f>
      </x:c>
      <x:c r="M415" s="2" t="n">
        <x:f>IF(ISNUMBER(K415),1,0)</x:f>
        <x:v>0</x:v>
      </x:c>
    </x:row>
    <x:row r="416" ht="24" customHeight="1">
      <x:c r="A416" s="2" t="str">
        <x:v>S04.03</x:v>
      </x:c>
      <x:c r="B416" s="2" t="str">
        <x:v>S04</x:v>
      </x:c>
      <x:c r="C416" s="2" t="str">
        <x:v>gpt_connected</x:v>
      </x:c>
      <x:c r="D416" s="2" t="n">
        <x:v>2</x:v>
      </x:c>
      <x:c r="E416" s="8"/>
      <x:c r="F416" s="8"/>
      <x:c r="G416" s="9"/>
      <x:c r="H416" s="9"/>
      <x:c r="I416" s="8"/>
      <x:c r="J416" s="8"/>
      <x:c r="K416" s="2" t="str">
        <x:f>IF(OR(E416="",F416="",G416="",H416="",I416="",J416=""),"",IF(E416="Harness blocked","BLOCKED",IF(AND(E416="Present",F416="Supplied"),1,IF(OR(E416="Missing",E416="Not reached"),0,"CHECK"))))</x:f>
      </x:c>
      <x:c r="L416" s="2" t="str">
        <x:f>IF(ISNUMBER(K416),IF(AND(K416=1,I416="No"),1,0),K416)</x:f>
      </x:c>
      <x:c r="M416" s="2" t="n">
        <x:f>IF(ISNUMBER(K416),1,0)</x:f>
        <x:v>0</x:v>
      </x:c>
    </x:row>
    <x:row r="417" ht="24" customHeight="1">
      <x:c r="A417" s="2" t="str">
        <x:v>S04.04</x:v>
      </x:c>
      <x:c r="B417" s="2" t="str">
        <x:v>S04</x:v>
      </x:c>
      <x:c r="C417" s="2" t="str">
        <x:v>gpt_connected</x:v>
      </x:c>
      <x:c r="D417" s="2" t="n">
        <x:v>2</x:v>
      </x:c>
      <x:c r="E417" s="8"/>
      <x:c r="F417" s="8"/>
      <x:c r="G417" s="9"/>
      <x:c r="H417" s="9"/>
      <x:c r="I417" s="8"/>
      <x:c r="J417" s="8"/>
      <x:c r="K417" s="2" t="str">
        <x:f>IF(OR(E417="",F417="",G417="",H417="",I417="",J417=""),"",IF(E417="Harness blocked","BLOCKED",IF(AND(E417="Present",F417="Supplied"),1,IF(OR(E417="Missing",E417="Not reached"),0,"CHECK"))))</x:f>
      </x:c>
      <x:c r="L417" s="2" t="str">
        <x:f>IF(ISNUMBER(K417),IF(AND(K417=1,I417="No"),1,0),K417)</x:f>
      </x:c>
      <x:c r="M417" s="2" t="n">
        <x:f>IF(ISNUMBER(K417),1,0)</x:f>
        <x:v>0</x:v>
      </x:c>
    </x:row>
    <x:row r="418" ht="24" customHeight="1">
      <x:c r="A418" s="2" t="str">
        <x:v>S04.05</x:v>
      </x:c>
      <x:c r="B418" s="2" t="str">
        <x:v>S04</x:v>
      </x:c>
      <x:c r="C418" s="2" t="str">
        <x:v>gpt_connected</x:v>
      </x:c>
      <x:c r="D418" s="2" t="n">
        <x:v>2</x:v>
      </x:c>
      <x:c r="E418" s="8"/>
      <x:c r="F418" s="8"/>
      <x:c r="G418" s="9"/>
      <x:c r="H418" s="9"/>
      <x:c r="I418" s="8"/>
      <x:c r="J418" s="8"/>
      <x:c r="K418" s="2" t="str">
        <x:f>IF(OR(E418="",F418="",G418="",H418="",I418="",J418=""),"",IF(E418="Harness blocked","BLOCKED",IF(AND(E418="Present",F418="Supplied"),1,IF(OR(E418="Missing",E418="Not reached"),0,"CHECK"))))</x:f>
      </x:c>
      <x:c r="L418" s="2" t="str">
        <x:f>IF(ISNUMBER(K418),IF(AND(K418=1,I418="No"),1,0),K418)</x:f>
      </x:c>
      <x:c r="M418" s="2" t="n">
        <x:f>IF(ISNUMBER(K418),1,0)</x:f>
        <x:v>0</x:v>
      </x:c>
    </x:row>
    <x:row r="419" ht="24" customHeight="1">
      <x:c r="A419" s="2" t="str">
        <x:v>S04.06</x:v>
      </x:c>
      <x:c r="B419" s="2" t="str">
        <x:v>S04</x:v>
      </x:c>
      <x:c r="C419" s="2" t="str">
        <x:v>gpt_connected</x:v>
      </x:c>
      <x:c r="D419" s="2" t="n">
        <x:v>2</x:v>
      </x:c>
      <x:c r="E419" s="8"/>
      <x:c r="F419" s="8"/>
      <x:c r="G419" s="9"/>
      <x:c r="H419" s="9"/>
      <x:c r="I419" s="8"/>
      <x:c r="J419" s="8"/>
      <x:c r="K419" s="2" t="str">
        <x:f>IF(OR(E419="",F419="",G419="",H419="",I419="",J419=""),"",IF(E419="Harness blocked","BLOCKED",IF(AND(E419="Present",F419="Supplied"),1,IF(OR(E419="Missing",E419="Not reached"),0,"CHECK"))))</x:f>
      </x:c>
      <x:c r="L419" s="2" t="str">
        <x:f>IF(ISNUMBER(K419),IF(AND(K419=1,I419="No"),1,0),K419)</x:f>
      </x:c>
      <x:c r="M419" s="2" t="n">
        <x:f>IF(ISNUMBER(K419),1,0)</x:f>
        <x:v>0</x:v>
      </x:c>
    </x:row>
    <x:row r="420" ht="24" customHeight="1">
      <x:c r="A420" s="2" t="str">
        <x:v>S04.07</x:v>
      </x:c>
      <x:c r="B420" s="2" t="str">
        <x:v>S04</x:v>
      </x:c>
      <x:c r="C420" s="2" t="str">
        <x:v>gpt_connected</x:v>
      </x:c>
      <x:c r="D420" s="2" t="n">
        <x:v>2</x:v>
      </x:c>
      <x:c r="E420" s="8"/>
      <x:c r="F420" s="8"/>
      <x:c r="G420" s="9"/>
      <x:c r="H420" s="9"/>
      <x:c r="I420" s="8"/>
      <x:c r="J420" s="8"/>
      <x:c r="K420" s="2" t="str">
        <x:f>IF(OR(E420="",F420="",G420="",H420="",I420="",J420=""),"",IF(E420="Harness blocked","BLOCKED",IF(AND(E420="Present",F420="Supplied"),1,IF(OR(E420="Missing",E420="Not reached"),0,"CHECK"))))</x:f>
      </x:c>
      <x:c r="L420" s="2" t="str">
        <x:f>IF(ISNUMBER(K420),IF(AND(K420=1,I420="No"),1,0),K420)</x:f>
      </x:c>
      <x:c r="M420" s="2" t="n">
        <x:f>IF(ISNUMBER(K420),1,0)</x:f>
        <x:v>0</x:v>
      </x:c>
    </x:row>
    <x:row r="421" ht="24" customHeight="1">
      <x:c r="A421" s="2" t="str">
        <x:v>S04.08</x:v>
      </x:c>
      <x:c r="B421" s="2" t="str">
        <x:v>S04</x:v>
      </x:c>
      <x:c r="C421" s="2" t="str">
        <x:v>gpt_connected</x:v>
      </x:c>
      <x:c r="D421" s="2" t="n">
        <x:v>2</x:v>
      </x:c>
      <x:c r="E421" s="8"/>
      <x:c r="F421" s="8"/>
      <x:c r="G421" s="9"/>
      <x:c r="H421" s="9"/>
      <x:c r="I421" s="8"/>
      <x:c r="J421" s="8"/>
      <x:c r="K421" s="2" t="str">
        <x:f>IF(OR(E421="",F421="",G421="",H421="",I421="",J421=""),"",IF(E421="Harness blocked","BLOCKED",IF(AND(E421="Present",F421="Supplied"),1,IF(OR(E421="Missing",E421="Not reached"),0,"CHECK"))))</x:f>
      </x:c>
      <x:c r="L421" s="2" t="str">
        <x:f>IF(ISNUMBER(K421),IF(AND(K421=1,I421="No"),1,0),K421)</x:f>
      </x:c>
      <x:c r="M421" s="2" t="n">
        <x:f>IF(ISNUMBER(K421),1,0)</x:f>
        <x:v>0</x:v>
      </x:c>
    </x:row>
    <x:row r="422" ht="24" customHeight="1">
      <x:c r="A422" s="2" t="str">
        <x:v>S05.01</x:v>
      </x:c>
      <x:c r="B422" s="2" t="str">
        <x:v>S05</x:v>
      </x:c>
      <x:c r="C422" s="2" t="str">
        <x:v>gpt_connected</x:v>
      </x:c>
      <x:c r="D422" s="2" t="n">
        <x:v>2</x:v>
      </x:c>
      <x:c r="E422" s="8"/>
      <x:c r="F422" s="8"/>
      <x:c r="G422" s="9"/>
      <x:c r="H422" s="9"/>
      <x:c r="I422" s="8"/>
      <x:c r="J422" s="8"/>
      <x:c r="K422" s="2" t="str">
        <x:f>IF(OR(E422="",F422="",G422="",H422="",I422="",J422=""),"",IF(E422="Harness blocked","BLOCKED",IF(AND(E422="Present",F422="Supplied"),1,IF(OR(E422="Missing",E422="Not reached"),0,"CHECK"))))</x:f>
      </x:c>
      <x:c r="L422" s="2" t="str">
        <x:f>IF(ISNUMBER(K422),IF(AND(K422=1,I422="No"),1,0),K422)</x:f>
      </x:c>
      <x:c r="M422" s="2" t="n">
        <x:f>IF(ISNUMBER(K422),1,0)</x:f>
        <x:v>0</x:v>
      </x:c>
    </x:row>
    <x:row r="423" ht="24" customHeight="1">
      <x:c r="A423" s="2" t="str">
        <x:v>S05.02</x:v>
      </x:c>
      <x:c r="B423" s="2" t="str">
        <x:v>S05</x:v>
      </x:c>
      <x:c r="C423" s="2" t="str">
        <x:v>gpt_connected</x:v>
      </x:c>
      <x:c r="D423" s="2" t="n">
        <x:v>2</x:v>
      </x:c>
      <x:c r="E423" s="8"/>
      <x:c r="F423" s="8"/>
      <x:c r="G423" s="9"/>
      <x:c r="H423" s="9"/>
      <x:c r="I423" s="8"/>
      <x:c r="J423" s="8"/>
      <x:c r="K423" s="2" t="str">
        <x:f>IF(OR(E423="",F423="",G423="",H423="",I423="",J423=""),"",IF(E423="Harness blocked","BLOCKED",IF(AND(E423="Present",F423="Supplied"),1,IF(OR(E423="Missing",E423="Not reached"),0,"CHECK"))))</x:f>
      </x:c>
      <x:c r="L423" s="2" t="str">
        <x:f>IF(ISNUMBER(K423),IF(AND(K423=1,I423="No"),1,0),K423)</x:f>
      </x:c>
      <x:c r="M423" s="2" t="n">
        <x:f>IF(ISNUMBER(K423),1,0)</x:f>
        <x:v>0</x:v>
      </x:c>
    </x:row>
    <x:row r="424" ht="24" customHeight="1">
      <x:c r="A424" s="2" t="str">
        <x:v>S05.03</x:v>
      </x:c>
      <x:c r="B424" s="2" t="str">
        <x:v>S05</x:v>
      </x:c>
      <x:c r="C424" s="2" t="str">
        <x:v>gpt_connected</x:v>
      </x:c>
      <x:c r="D424" s="2" t="n">
        <x:v>2</x:v>
      </x:c>
      <x:c r="E424" s="8"/>
      <x:c r="F424" s="8"/>
      <x:c r="G424" s="9"/>
      <x:c r="H424" s="9"/>
      <x:c r="I424" s="8"/>
      <x:c r="J424" s="8"/>
      <x:c r="K424" s="2" t="str">
        <x:f>IF(OR(E424="",F424="",G424="",H424="",I424="",J424=""),"",IF(E424="Harness blocked","BLOCKED",IF(AND(E424="Present",F424="Supplied"),1,IF(OR(E424="Missing",E424="Not reached"),0,"CHECK"))))</x:f>
      </x:c>
      <x:c r="L424" s="2" t="str">
        <x:f>IF(ISNUMBER(K424),IF(AND(K424=1,I424="No"),1,0),K424)</x:f>
      </x:c>
      <x:c r="M424" s="2" t="n">
        <x:f>IF(ISNUMBER(K424),1,0)</x:f>
        <x:v>0</x:v>
      </x:c>
    </x:row>
    <x:row r="425" ht="24" customHeight="1">
      <x:c r="A425" s="2" t="str">
        <x:v>S05.04</x:v>
      </x:c>
      <x:c r="B425" s="2" t="str">
        <x:v>S05</x:v>
      </x:c>
      <x:c r="C425" s="2" t="str">
        <x:v>gpt_connected</x:v>
      </x:c>
      <x:c r="D425" s="2" t="n">
        <x:v>2</x:v>
      </x:c>
      <x:c r="E425" s="8"/>
      <x:c r="F425" s="8"/>
      <x:c r="G425" s="9"/>
      <x:c r="H425" s="9"/>
      <x:c r="I425" s="8"/>
      <x:c r="J425" s="8"/>
      <x:c r="K425" s="2" t="str">
        <x:f>IF(OR(E425="",F425="",G425="",H425="",I425="",J425=""),"",IF(E425="Harness blocked","BLOCKED",IF(AND(E425="Present",F425="Supplied"),1,IF(OR(E425="Missing",E425="Not reached"),0,"CHECK"))))</x:f>
      </x:c>
      <x:c r="L425" s="2" t="str">
        <x:f>IF(ISNUMBER(K425),IF(AND(K425=1,I425="No"),1,0),K425)</x:f>
      </x:c>
      <x:c r="M425" s="2" t="n">
        <x:f>IF(ISNUMBER(K425),1,0)</x:f>
        <x:v>0</x:v>
      </x:c>
    </x:row>
    <x:row r="426" ht="24" customHeight="1">
      <x:c r="A426" s="2" t="str">
        <x:v>S05.05</x:v>
      </x:c>
      <x:c r="B426" s="2" t="str">
        <x:v>S05</x:v>
      </x:c>
      <x:c r="C426" s="2" t="str">
        <x:v>gpt_connected</x:v>
      </x:c>
      <x:c r="D426" s="2" t="n">
        <x:v>2</x:v>
      </x:c>
      <x:c r="E426" s="8"/>
      <x:c r="F426" s="8"/>
      <x:c r="G426" s="9"/>
      <x:c r="H426" s="9"/>
      <x:c r="I426" s="8"/>
      <x:c r="J426" s="8"/>
      <x:c r="K426" s="2" t="str">
        <x:f>IF(OR(E426="",F426="",G426="",H426="",I426="",J426=""),"",IF(E426="Harness blocked","BLOCKED",IF(AND(E426="Present",F426="Supplied"),1,IF(OR(E426="Missing",E426="Not reached"),0,"CHECK"))))</x:f>
      </x:c>
      <x:c r="L426" s="2" t="str">
        <x:f>IF(ISNUMBER(K426),IF(AND(K426=1,I426="No"),1,0),K426)</x:f>
      </x:c>
      <x:c r="M426" s="2" t="n">
        <x:f>IF(ISNUMBER(K426),1,0)</x:f>
        <x:v>0</x:v>
      </x:c>
    </x:row>
    <x:row r="427" ht="24" customHeight="1">
      <x:c r="A427" s="2" t="str">
        <x:v>S05.06</x:v>
      </x:c>
      <x:c r="B427" s="2" t="str">
        <x:v>S05</x:v>
      </x:c>
      <x:c r="C427" s="2" t="str">
        <x:v>gpt_connected</x:v>
      </x:c>
      <x:c r="D427" s="2" t="n">
        <x:v>2</x:v>
      </x:c>
      <x:c r="E427" s="8"/>
      <x:c r="F427" s="8"/>
      <x:c r="G427" s="9"/>
      <x:c r="H427" s="9"/>
      <x:c r="I427" s="8"/>
      <x:c r="J427" s="8"/>
      <x:c r="K427" s="2" t="str">
        <x:f>IF(OR(E427="",F427="",G427="",H427="",I427="",J427=""),"",IF(E427="Harness blocked","BLOCKED",IF(AND(E427="Present",F427="Supplied"),1,IF(OR(E427="Missing",E427="Not reached"),0,"CHECK"))))</x:f>
      </x:c>
      <x:c r="L427" s="2" t="str">
        <x:f>IF(ISNUMBER(K427),IF(AND(K427=1,I427="No"),1,0),K427)</x:f>
      </x:c>
      <x:c r="M427" s="2" t="n">
        <x:f>IF(ISNUMBER(K427),1,0)</x:f>
        <x:v>0</x:v>
      </x:c>
    </x:row>
    <x:row r="428" ht="24" customHeight="1">
      <x:c r="A428" s="2" t="str">
        <x:v>S05.07</x:v>
      </x:c>
      <x:c r="B428" s="2" t="str">
        <x:v>S05</x:v>
      </x:c>
      <x:c r="C428" s="2" t="str">
        <x:v>gpt_connected</x:v>
      </x:c>
      <x:c r="D428" s="2" t="n">
        <x:v>2</x:v>
      </x:c>
      <x:c r="E428" s="8"/>
      <x:c r="F428" s="8"/>
      <x:c r="G428" s="9"/>
      <x:c r="H428" s="9"/>
      <x:c r="I428" s="8"/>
      <x:c r="J428" s="8"/>
      <x:c r="K428" s="2" t="str">
        <x:f>IF(OR(E428="",F428="",G428="",H428="",I428="",J428=""),"",IF(E428="Harness blocked","BLOCKED",IF(AND(E428="Present",F428="Supplied"),1,IF(OR(E428="Missing",E428="Not reached"),0,"CHECK"))))</x:f>
      </x:c>
      <x:c r="L428" s="2" t="str">
        <x:f>IF(ISNUMBER(K428),IF(AND(K428=1,I428="No"),1,0),K428)</x:f>
      </x:c>
      <x:c r="M428" s="2" t="n">
        <x:f>IF(ISNUMBER(K428),1,0)</x:f>
        <x:v>0</x:v>
      </x:c>
    </x:row>
    <x:row r="429" ht="24" customHeight="1">
      <x:c r="A429" s="2" t="str">
        <x:v>S05.08</x:v>
      </x:c>
      <x:c r="B429" s="2" t="str">
        <x:v>S05</x:v>
      </x:c>
      <x:c r="C429" s="2" t="str">
        <x:v>gpt_connected</x:v>
      </x:c>
      <x:c r="D429" s="2" t="n">
        <x:v>2</x:v>
      </x:c>
      <x:c r="E429" s="8"/>
      <x:c r="F429" s="8"/>
      <x:c r="G429" s="9"/>
      <x:c r="H429" s="9"/>
      <x:c r="I429" s="8"/>
      <x:c r="J429" s="8"/>
      <x:c r="K429" s="2" t="str">
        <x:f>IF(OR(E429="",F429="",G429="",H429="",I429="",J429=""),"",IF(E429="Harness blocked","BLOCKED",IF(AND(E429="Present",F429="Supplied"),1,IF(OR(E429="Missing",E429="Not reached"),0,"CHECK"))))</x:f>
      </x:c>
      <x:c r="L429" s="2" t="str">
        <x:f>IF(ISNUMBER(K429),IF(AND(K429=1,I429="No"),1,0),K429)</x:f>
      </x:c>
      <x:c r="M429" s="2" t="n">
        <x:f>IF(ISNUMBER(K429),1,0)</x:f>
        <x:v>0</x:v>
      </x:c>
    </x:row>
    <x:row r="430" ht="24" customHeight="1">
      <x:c r="A430" s="2" t="str">
        <x:v>S06.01</x:v>
      </x:c>
      <x:c r="B430" s="2" t="str">
        <x:v>S06</x:v>
      </x:c>
      <x:c r="C430" s="2" t="str">
        <x:v>gpt_connected</x:v>
      </x:c>
      <x:c r="D430" s="2" t="n">
        <x:v>2</x:v>
      </x:c>
      <x:c r="E430" s="8"/>
      <x:c r="F430" s="8"/>
      <x:c r="G430" s="9"/>
      <x:c r="H430" s="9"/>
      <x:c r="I430" s="8"/>
      <x:c r="J430" s="8"/>
      <x:c r="K430" s="2" t="str">
        <x:f>IF(OR(E430="",F430="",G430="",H430="",I430="",J430=""),"",IF(E430="Harness blocked","BLOCKED",IF(AND(E430="Present",F430="Supplied"),1,IF(OR(E430="Missing",E430="Not reached"),0,"CHECK"))))</x:f>
      </x:c>
      <x:c r="L430" s="2" t="str">
        <x:f>IF(ISNUMBER(K430),IF(AND(K430=1,I430="No"),1,0),K430)</x:f>
      </x:c>
      <x:c r="M430" s="2" t="n">
        <x:f>IF(ISNUMBER(K430),1,0)</x:f>
        <x:v>0</x:v>
      </x:c>
    </x:row>
    <x:row r="431" ht="24" customHeight="1">
      <x:c r="A431" s="2" t="str">
        <x:v>S06.02</x:v>
      </x:c>
      <x:c r="B431" s="2" t="str">
        <x:v>S06</x:v>
      </x:c>
      <x:c r="C431" s="2" t="str">
        <x:v>gpt_connected</x:v>
      </x:c>
      <x:c r="D431" s="2" t="n">
        <x:v>2</x:v>
      </x:c>
      <x:c r="E431" s="8"/>
      <x:c r="F431" s="8"/>
      <x:c r="G431" s="9"/>
      <x:c r="H431" s="9"/>
      <x:c r="I431" s="8"/>
      <x:c r="J431" s="8"/>
      <x:c r="K431" s="2" t="str">
        <x:f>IF(OR(E431="",F431="",G431="",H431="",I431="",J431=""),"",IF(E431="Harness blocked","BLOCKED",IF(AND(E431="Present",F431="Supplied"),1,IF(OR(E431="Missing",E431="Not reached"),0,"CHECK"))))</x:f>
      </x:c>
      <x:c r="L431" s="2" t="str">
        <x:f>IF(ISNUMBER(K431),IF(AND(K431=1,I431="No"),1,0),K431)</x:f>
      </x:c>
      <x:c r="M431" s="2" t="n">
        <x:f>IF(ISNUMBER(K431),1,0)</x:f>
        <x:v>0</x:v>
      </x:c>
    </x:row>
    <x:row r="432" ht="24" customHeight="1">
      <x:c r="A432" s="2" t="str">
        <x:v>S06.03</x:v>
      </x:c>
      <x:c r="B432" s="2" t="str">
        <x:v>S06</x:v>
      </x:c>
      <x:c r="C432" s="2" t="str">
        <x:v>gpt_connected</x:v>
      </x:c>
      <x:c r="D432" s="2" t="n">
        <x:v>2</x:v>
      </x:c>
      <x:c r="E432" s="8"/>
      <x:c r="F432" s="8"/>
      <x:c r="G432" s="9"/>
      <x:c r="H432" s="9"/>
      <x:c r="I432" s="8"/>
      <x:c r="J432" s="8"/>
      <x:c r="K432" s="2" t="str">
        <x:f>IF(OR(E432="",F432="",G432="",H432="",I432="",J432=""),"",IF(E432="Harness blocked","BLOCKED",IF(AND(E432="Present",F432="Supplied"),1,IF(OR(E432="Missing",E432="Not reached"),0,"CHECK"))))</x:f>
      </x:c>
      <x:c r="L432" s="2" t="str">
        <x:f>IF(ISNUMBER(K432),IF(AND(K432=1,I432="No"),1,0),K432)</x:f>
      </x:c>
      <x:c r="M432" s="2" t="n">
        <x:f>IF(ISNUMBER(K432),1,0)</x:f>
        <x:v>0</x:v>
      </x:c>
    </x:row>
    <x:row r="433" ht="24" customHeight="1">
      <x:c r="A433" s="2" t="str">
        <x:v>S06.04</x:v>
      </x:c>
      <x:c r="B433" s="2" t="str">
        <x:v>S06</x:v>
      </x:c>
      <x:c r="C433" s="2" t="str">
        <x:v>gpt_connected</x:v>
      </x:c>
      <x:c r="D433" s="2" t="n">
        <x:v>2</x:v>
      </x:c>
      <x:c r="E433" s="8"/>
      <x:c r="F433" s="8"/>
      <x:c r="G433" s="9"/>
      <x:c r="H433" s="9"/>
      <x:c r="I433" s="8"/>
      <x:c r="J433" s="8"/>
      <x:c r="K433" s="2" t="str">
        <x:f>IF(OR(E433="",F433="",G433="",H433="",I433="",J433=""),"",IF(E433="Harness blocked","BLOCKED",IF(AND(E433="Present",F433="Supplied"),1,IF(OR(E433="Missing",E433="Not reached"),0,"CHECK"))))</x:f>
      </x:c>
      <x:c r="L433" s="2" t="str">
        <x:f>IF(ISNUMBER(K433),IF(AND(K433=1,I433="No"),1,0),K433)</x:f>
      </x:c>
      <x:c r="M433" s="2" t="n">
        <x:f>IF(ISNUMBER(K433),1,0)</x:f>
        <x:v>0</x:v>
      </x:c>
    </x:row>
    <x:row r="434" ht="24" customHeight="1">
      <x:c r="A434" s="2" t="str">
        <x:v>S06.05</x:v>
      </x:c>
      <x:c r="B434" s="2" t="str">
        <x:v>S06</x:v>
      </x:c>
      <x:c r="C434" s="2" t="str">
        <x:v>gpt_connected</x:v>
      </x:c>
      <x:c r="D434" s="2" t="n">
        <x:v>2</x:v>
      </x:c>
      <x:c r="E434" s="8"/>
      <x:c r="F434" s="8"/>
      <x:c r="G434" s="9"/>
      <x:c r="H434" s="9"/>
      <x:c r="I434" s="8"/>
      <x:c r="J434" s="8"/>
      <x:c r="K434" s="2" t="str">
        <x:f>IF(OR(E434="",F434="",G434="",H434="",I434="",J434=""),"",IF(E434="Harness blocked","BLOCKED",IF(AND(E434="Present",F434="Supplied"),1,IF(OR(E434="Missing",E434="Not reached"),0,"CHECK"))))</x:f>
      </x:c>
      <x:c r="L434" s="2" t="str">
        <x:f>IF(ISNUMBER(K434),IF(AND(K434=1,I434="No"),1,0),K434)</x:f>
      </x:c>
      <x:c r="M434" s="2" t="n">
        <x:f>IF(ISNUMBER(K434),1,0)</x:f>
        <x:v>0</x:v>
      </x:c>
    </x:row>
    <x:row r="435" ht="24" customHeight="1">
      <x:c r="A435" s="2" t="str">
        <x:v>S06.06</x:v>
      </x:c>
      <x:c r="B435" s="2" t="str">
        <x:v>S06</x:v>
      </x:c>
      <x:c r="C435" s="2" t="str">
        <x:v>gpt_connected</x:v>
      </x:c>
      <x:c r="D435" s="2" t="n">
        <x:v>2</x:v>
      </x:c>
      <x:c r="E435" s="8"/>
      <x:c r="F435" s="8"/>
      <x:c r="G435" s="9"/>
      <x:c r="H435" s="9"/>
      <x:c r="I435" s="8"/>
      <x:c r="J435" s="8"/>
      <x:c r="K435" s="2" t="str">
        <x:f>IF(OR(E435="",F435="",G435="",H435="",I435="",J435=""),"",IF(E435="Harness blocked","BLOCKED",IF(AND(E435="Present",F435="Supplied"),1,IF(OR(E435="Missing",E435="Not reached"),0,"CHECK"))))</x:f>
      </x:c>
      <x:c r="L435" s="2" t="str">
        <x:f>IF(ISNUMBER(K435),IF(AND(K435=1,I435="No"),1,0),K435)</x:f>
      </x:c>
      <x:c r="M435" s="2" t="n">
        <x:f>IF(ISNUMBER(K435),1,0)</x:f>
        <x:v>0</x:v>
      </x:c>
    </x:row>
    <x:row r="436" ht="24" customHeight="1">
      <x:c r="A436" s="2" t="str">
        <x:v>S06.07</x:v>
      </x:c>
      <x:c r="B436" s="2" t="str">
        <x:v>S06</x:v>
      </x:c>
      <x:c r="C436" s="2" t="str">
        <x:v>gpt_connected</x:v>
      </x:c>
      <x:c r="D436" s="2" t="n">
        <x:v>2</x:v>
      </x:c>
      <x:c r="E436" s="8"/>
      <x:c r="F436" s="8"/>
      <x:c r="G436" s="9"/>
      <x:c r="H436" s="9"/>
      <x:c r="I436" s="8"/>
      <x:c r="J436" s="8"/>
      <x:c r="K436" s="2" t="str">
        <x:f>IF(OR(E436="",F436="",G436="",H436="",I436="",J436=""),"",IF(E436="Harness blocked","BLOCKED",IF(AND(E436="Present",F436="Supplied"),1,IF(OR(E436="Missing",E436="Not reached"),0,"CHECK"))))</x:f>
      </x:c>
      <x:c r="L436" s="2" t="str">
        <x:f>IF(ISNUMBER(K436),IF(AND(K436=1,I436="No"),1,0),K436)</x:f>
      </x:c>
      <x:c r="M436" s="2" t="n">
        <x:f>IF(ISNUMBER(K436),1,0)</x:f>
        <x:v>0</x:v>
      </x:c>
    </x:row>
    <x:row r="437" ht="24" customHeight="1">
      <x:c r="A437" s="2" t="str">
        <x:v>S06.08</x:v>
      </x:c>
      <x:c r="B437" s="2" t="str">
        <x:v>S06</x:v>
      </x:c>
      <x:c r="C437" s="2" t="str">
        <x:v>gpt_connected</x:v>
      </x:c>
      <x:c r="D437" s="2" t="n">
        <x:v>2</x:v>
      </x:c>
      <x:c r="E437" s="8"/>
      <x:c r="F437" s="8"/>
      <x:c r="G437" s="9"/>
      <x:c r="H437" s="9"/>
      <x:c r="I437" s="8"/>
      <x:c r="J437" s="8"/>
      <x:c r="K437" s="2" t="str">
        <x:f>IF(OR(E437="",F437="",G437="",H437="",I437="",J437=""),"",IF(E437="Harness blocked","BLOCKED",IF(AND(E437="Present",F437="Supplied"),1,IF(OR(E437="Missing",E437="Not reached"),0,"CHECK"))))</x:f>
      </x:c>
      <x:c r="L437" s="2" t="str">
        <x:f>IF(ISNUMBER(K437),IF(AND(K437=1,I437="No"),1,0),K437)</x:f>
      </x:c>
      <x:c r="M437" s="2" t="n">
        <x:f>IF(ISNUMBER(K437),1,0)</x:f>
        <x:v>0</x:v>
      </x:c>
    </x:row>
    <x:row r="438" ht="24" customHeight="1">
      <x:c r="A438" s="2" t="str">
        <x:v>S07.01</x:v>
      </x:c>
      <x:c r="B438" s="2" t="str">
        <x:v>S07</x:v>
      </x:c>
      <x:c r="C438" s="2" t="str">
        <x:v>gpt_connected</x:v>
      </x:c>
      <x:c r="D438" s="2" t="n">
        <x:v>2</x:v>
      </x:c>
      <x:c r="E438" s="8"/>
      <x:c r="F438" s="8"/>
      <x:c r="G438" s="9"/>
      <x:c r="H438" s="9"/>
      <x:c r="I438" s="8"/>
      <x:c r="J438" s="8"/>
      <x:c r="K438" s="2" t="str">
        <x:f>IF(OR(E438="",F438="",G438="",H438="",I438="",J438=""),"",IF(E438="Harness blocked","BLOCKED",IF(AND(E438="Present",F438="Supplied"),1,IF(OR(E438="Missing",E438="Not reached"),0,"CHECK"))))</x:f>
      </x:c>
      <x:c r="L438" s="2" t="str">
        <x:f>IF(ISNUMBER(K438),IF(AND(K438=1,I438="No"),1,0),K438)</x:f>
      </x:c>
      <x:c r="M438" s="2" t="n">
        <x:f>IF(ISNUMBER(K438),1,0)</x:f>
        <x:v>0</x:v>
      </x:c>
    </x:row>
    <x:row r="439" ht="24" customHeight="1">
      <x:c r="A439" s="2" t="str">
        <x:v>S07.02</x:v>
      </x:c>
      <x:c r="B439" s="2" t="str">
        <x:v>S07</x:v>
      </x:c>
      <x:c r="C439" s="2" t="str">
        <x:v>gpt_connected</x:v>
      </x:c>
      <x:c r="D439" s="2" t="n">
        <x:v>2</x:v>
      </x:c>
      <x:c r="E439" s="8"/>
      <x:c r="F439" s="8"/>
      <x:c r="G439" s="9"/>
      <x:c r="H439" s="9"/>
      <x:c r="I439" s="8"/>
      <x:c r="J439" s="8"/>
      <x:c r="K439" s="2" t="str">
        <x:f>IF(OR(E439="",F439="",G439="",H439="",I439="",J439=""),"",IF(E439="Harness blocked","BLOCKED",IF(AND(E439="Present",F439="Supplied"),1,IF(OR(E439="Missing",E439="Not reached"),0,"CHECK"))))</x:f>
      </x:c>
      <x:c r="L439" s="2" t="str">
        <x:f>IF(ISNUMBER(K439),IF(AND(K439=1,I439="No"),1,0),K439)</x:f>
      </x:c>
      <x:c r="M439" s="2" t="n">
        <x:f>IF(ISNUMBER(K439),1,0)</x:f>
        <x:v>0</x:v>
      </x:c>
    </x:row>
    <x:row r="440" ht="24" customHeight="1">
      <x:c r="A440" s="2" t="str">
        <x:v>S07.03</x:v>
      </x:c>
      <x:c r="B440" s="2" t="str">
        <x:v>S07</x:v>
      </x:c>
      <x:c r="C440" s="2" t="str">
        <x:v>gpt_connected</x:v>
      </x:c>
      <x:c r="D440" s="2" t="n">
        <x:v>2</x:v>
      </x:c>
      <x:c r="E440" s="8"/>
      <x:c r="F440" s="8"/>
      <x:c r="G440" s="9"/>
      <x:c r="H440" s="9"/>
      <x:c r="I440" s="8"/>
      <x:c r="J440" s="8"/>
      <x:c r="K440" s="2" t="str">
        <x:f>IF(OR(E440="",F440="",G440="",H440="",I440="",J440=""),"",IF(E440="Harness blocked","BLOCKED",IF(AND(E440="Present",F440="Supplied"),1,IF(OR(E440="Missing",E440="Not reached"),0,"CHECK"))))</x:f>
      </x:c>
      <x:c r="L440" s="2" t="str">
        <x:f>IF(ISNUMBER(K440),IF(AND(K440=1,I440="No"),1,0),K440)</x:f>
      </x:c>
      <x:c r="M440" s="2" t="n">
        <x:f>IF(ISNUMBER(K440),1,0)</x:f>
        <x:v>0</x:v>
      </x:c>
    </x:row>
    <x:row r="441" ht="24" customHeight="1">
      <x:c r="A441" s="2" t="str">
        <x:v>S07.04</x:v>
      </x:c>
      <x:c r="B441" s="2" t="str">
        <x:v>S07</x:v>
      </x:c>
      <x:c r="C441" s="2" t="str">
        <x:v>gpt_connected</x:v>
      </x:c>
      <x:c r="D441" s="2" t="n">
        <x:v>2</x:v>
      </x:c>
      <x:c r="E441" s="8"/>
      <x:c r="F441" s="8"/>
      <x:c r="G441" s="9"/>
      <x:c r="H441" s="9"/>
      <x:c r="I441" s="8"/>
      <x:c r="J441" s="8"/>
      <x:c r="K441" s="2" t="str">
        <x:f>IF(OR(E441="",F441="",G441="",H441="",I441="",J441=""),"",IF(E441="Harness blocked","BLOCKED",IF(AND(E441="Present",F441="Supplied"),1,IF(OR(E441="Missing",E441="Not reached"),0,"CHECK"))))</x:f>
      </x:c>
      <x:c r="L441" s="2" t="str">
        <x:f>IF(ISNUMBER(K441),IF(AND(K441=1,I441="No"),1,0),K441)</x:f>
      </x:c>
      <x:c r="M441" s="2" t="n">
        <x:f>IF(ISNUMBER(K441),1,0)</x:f>
        <x:v>0</x:v>
      </x:c>
    </x:row>
    <x:row r="442" ht="24" customHeight="1">
      <x:c r="A442" s="2" t="str">
        <x:v>S07.05</x:v>
      </x:c>
      <x:c r="B442" s="2" t="str">
        <x:v>S07</x:v>
      </x:c>
      <x:c r="C442" s="2" t="str">
        <x:v>gpt_connected</x:v>
      </x:c>
      <x:c r="D442" s="2" t="n">
        <x:v>2</x:v>
      </x:c>
      <x:c r="E442" s="8"/>
      <x:c r="F442" s="8"/>
      <x:c r="G442" s="9"/>
      <x:c r="H442" s="9"/>
      <x:c r="I442" s="8"/>
      <x:c r="J442" s="8"/>
      <x:c r="K442" s="2" t="str">
        <x:f>IF(OR(E442="",F442="",G442="",H442="",I442="",J442=""),"",IF(E442="Harness blocked","BLOCKED",IF(AND(E442="Present",F442="Supplied"),1,IF(OR(E442="Missing",E442="Not reached"),0,"CHECK"))))</x:f>
      </x:c>
      <x:c r="L442" s="2" t="str">
        <x:f>IF(ISNUMBER(K442),IF(AND(K442=1,I442="No"),1,0),K442)</x:f>
      </x:c>
      <x:c r="M442" s="2" t="n">
        <x:f>IF(ISNUMBER(K442),1,0)</x:f>
        <x:v>0</x:v>
      </x:c>
    </x:row>
    <x:row r="443" ht="24" customHeight="1">
      <x:c r="A443" s="2" t="str">
        <x:v>S07.06</x:v>
      </x:c>
      <x:c r="B443" s="2" t="str">
        <x:v>S07</x:v>
      </x:c>
      <x:c r="C443" s="2" t="str">
        <x:v>gpt_connected</x:v>
      </x:c>
      <x:c r="D443" s="2" t="n">
        <x:v>2</x:v>
      </x:c>
      <x:c r="E443" s="8"/>
      <x:c r="F443" s="8"/>
      <x:c r="G443" s="9"/>
      <x:c r="H443" s="9"/>
      <x:c r="I443" s="8"/>
      <x:c r="J443" s="8"/>
      <x:c r="K443" s="2" t="str">
        <x:f>IF(OR(E443="",F443="",G443="",H443="",I443="",J443=""),"",IF(E443="Harness blocked","BLOCKED",IF(AND(E443="Present",F443="Supplied"),1,IF(OR(E443="Missing",E443="Not reached"),0,"CHECK"))))</x:f>
      </x:c>
      <x:c r="L443" s="2" t="str">
        <x:f>IF(ISNUMBER(K443),IF(AND(K443=1,I443="No"),1,0),K443)</x:f>
      </x:c>
      <x:c r="M443" s="2" t="n">
        <x:f>IF(ISNUMBER(K443),1,0)</x:f>
        <x:v>0</x:v>
      </x:c>
    </x:row>
    <x:row r="444" ht="24" customHeight="1">
      <x:c r="A444" s="2" t="str">
        <x:v>S07.07</x:v>
      </x:c>
      <x:c r="B444" s="2" t="str">
        <x:v>S07</x:v>
      </x:c>
      <x:c r="C444" s="2" t="str">
        <x:v>gpt_connected</x:v>
      </x:c>
      <x:c r="D444" s="2" t="n">
        <x:v>2</x:v>
      </x:c>
      <x:c r="E444" s="8"/>
      <x:c r="F444" s="8"/>
      <x:c r="G444" s="9"/>
      <x:c r="H444" s="9"/>
      <x:c r="I444" s="8"/>
      <x:c r="J444" s="8"/>
      <x:c r="K444" s="2" t="str">
        <x:f>IF(OR(E444="",F444="",G444="",H444="",I444="",J444=""),"",IF(E444="Harness blocked","BLOCKED",IF(AND(E444="Present",F444="Supplied"),1,IF(OR(E444="Missing",E444="Not reached"),0,"CHECK"))))</x:f>
      </x:c>
      <x:c r="L444" s="2" t="str">
        <x:f>IF(ISNUMBER(K444),IF(AND(K444=1,I444="No"),1,0),K444)</x:f>
      </x:c>
      <x:c r="M444" s="2" t="n">
        <x:f>IF(ISNUMBER(K444),1,0)</x:f>
        <x:v>0</x:v>
      </x:c>
    </x:row>
    <x:row r="445" ht="24" customHeight="1">
      <x:c r="A445" s="2" t="str">
        <x:v>S07.08</x:v>
      </x:c>
      <x:c r="B445" s="2" t="str">
        <x:v>S07</x:v>
      </x:c>
      <x:c r="C445" s="2" t="str">
        <x:v>gpt_connected</x:v>
      </x:c>
      <x:c r="D445" s="2" t="n">
        <x:v>2</x:v>
      </x:c>
      <x:c r="E445" s="8"/>
      <x:c r="F445" s="8"/>
      <x:c r="G445" s="9"/>
      <x:c r="H445" s="9"/>
      <x:c r="I445" s="8"/>
      <x:c r="J445" s="8"/>
      <x:c r="K445" s="2" t="str">
        <x:f>IF(OR(E445="",F445="",G445="",H445="",I445="",J445=""),"",IF(E445="Harness blocked","BLOCKED",IF(AND(E445="Present",F445="Supplied"),1,IF(OR(E445="Missing",E445="Not reached"),0,"CHECK"))))</x:f>
      </x:c>
      <x:c r="L445" s="2" t="str">
        <x:f>IF(ISNUMBER(K445),IF(AND(K445=1,I445="No"),1,0),K445)</x:f>
      </x:c>
      <x:c r="M445" s="2" t="n">
        <x:f>IF(ISNUMBER(K445),1,0)</x:f>
        <x:v>0</x:v>
      </x:c>
    </x:row>
    <x:row r="446" ht="24" customHeight="1">
      <x:c r="A446" s="2" t="str">
        <x:v>S08.01</x:v>
      </x:c>
      <x:c r="B446" s="2" t="str">
        <x:v>S08</x:v>
      </x:c>
      <x:c r="C446" s="2" t="str">
        <x:v>gpt_connected</x:v>
      </x:c>
      <x:c r="D446" s="2" t="n">
        <x:v>2</x:v>
      </x:c>
      <x:c r="E446" s="8"/>
      <x:c r="F446" s="8"/>
      <x:c r="G446" s="9"/>
      <x:c r="H446" s="9"/>
      <x:c r="I446" s="8"/>
      <x:c r="J446" s="8"/>
      <x:c r="K446" s="2" t="str">
        <x:f>IF(OR(E446="",F446="",G446="",H446="",I446="",J446=""),"",IF(E446="Harness blocked","BLOCKED",IF(AND(E446="Present",F446="Supplied"),1,IF(OR(E446="Missing",E446="Not reached"),0,"CHECK"))))</x:f>
      </x:c>
      <x:c r="L446" s="2" t="str">
        <x:f>IF(ISNUMBER(K446),IF(AND(K446=1,I446="No"),1,0),K446)</x:f>
      </x:c>
      <x:c r="M446" s="2" t="n">
        <x:f>IF(ISNUMBER(K446),1,0)</x:f>
        <x:v>0</x:v>
      </x:c>
    </x:row>
    <x:row r="447" ht="24" customHeight="1">
      <x:c r="A447" s="2" t="str">
        <x:v>S08.02</x:v>
      </x:c>
      <x:c r="B447" s="2" t="str">
        <x:v>S08</x:v>
      </x:c>
      <x:c r="C447" s="2" t="str">
        <x:v>gpt_connected</x:v>
      </x:c>
      <x:c r="D447" s="2" t="n">
        <x:v>2</x:v>
      </x:c>
      <x:c r="E447" s="8"/>
      <x:c r="F447" s="8"/>
      <x:c r="G447" s="9"/>
      <x:c r="H447" s="9"/>
      <x:c r="I447" s="8"/>
      <x:c r="J447" s="8"/>
      <x:c r="K447" s="2" t="str">
        <x:f>IF(OR(E447="",F447="",G447="",H447="",I447="",J447=""),"",IF(E447="Harness blocked","BLOCKED",IF(AND(E447="Present",F447="Supplied"),1,IF(OR(E447="Missing",E447="Not reached"),0,"CHECK"))))</x:f>
      </x:c>
      <x:c r="L447" s="2" t="str">
        <x:f>IF(ISNUMBER(K447),IF(AND(K447=1,I447="No"),1,0),K447)</x:f>
      </x:c>
      <x:c r="M447" s="2" t="n">
        <x:f>IF(ISNUMBER(K447),1,0)</x:f>
        <x:v>0</x:v>
      </x:c>
    </x:row>
    <x:row r="448" ht="24" customHeight="1">
      <x:c r="A448" s="2" t="str">
        <x:v>S08.03</x:v>
      </x:c>
      <x:c r="B448" s="2" t="str">
        <x:v>S08</x:v>
      </x:c>
      <x:c r="C448" s="2" t="str">
        <x:v>gpt_connected</x:v>
      </x:c>
      <x:c r="D448" s="2" t="n">
        <x:v>2</x:v>
      </x:c>
      <x:c r="E448" s="8"/>
      <x:c r="F448" s="8"/>
      <x:c r="G448" s="9"/>
      <x:c r="H448" s="9"/>
      <x:c r="I448" s="8"/>
      <x:c r="J448" s="8"/>
      <x:c r="K448" s="2" t="str">
        <x:f>IF(OR(E448="",F448="",G448="",H448="",I448="",J448=""),"",IF(E448="Harness blocked","BLOCKED",IF(AND(E448="Present",F448="Supplied"),1,IF(OR(E448="Missing",E448="Not reached"),0,"CHECK"))))</x:f>
      </x:c>
      <x:c r="L448" s="2" t="str">
        <x:f>IF(ISNUMBER(K448),IF(AND(K448=1,I448="No"),1,0),K448)</x:f>
      </x:c>
      <x:c r="M448" s="2" t="n">
        <x:f>IF(ISNUMBER(K448),1,0)</x:f>
        <x:v>0</x:v>
      </x:c>
    </x:row>
    <x:row r="449" ht="24" customHeight="1">
      <x:c r="A449" s="2" t="str">
        <x:v>S08.04</x:v>
      </x:c>
      <x:c r="B449" s="2" t="str">
        <x:v>S08</x:v>
      </x:c>
      <x:c r="C449" s="2" t="str">
        <x:v>gpt_connected</x:v>
      </x:c>
      <x:c r="D449" s="2" t="n">
        <x:v>2</x:v>
      </x:c>
      <x:c r="E449" s="8"/>
      <x:c r="F449" s="8"/>
      <x:c r="G449" s="9"/>
      <x:c r="H449" s="9"/>
      <x:c r="I449" s="8"/>
      <x:c r="J449" s="8"/>
      <x:c r="K449" s="2" t="str">
        <x:f>IF(OR(E449="",F449="",G449="",H449="",I449="",J449=""),"",IF(E449="Harness blocked","BLOCKED",IF(AND(E449="Present",F449="Supplied"),1,IF(OR(E449="Missing",E449="Not reached"),0,"CHECK"))))</x:f>
      </x:c>
      <x:c r="L449" s="2" t="str">
        <x:f>IF(ISNUMBER(K449),IF(AND(K449=1,I449="No"),1,0),K449)</x:f>
      </x:c>
      <x:c r="M449" s="2" t="n">
        <x:f>IF(ISNUMBER(K449),1,0)</x:f>
        <x:v>0</x:v>
      </x:c>
    </x:row>
    <x:row r="450" ht="24" customHeight="1">
      <x:c r="A450" s="2" t="str">
        <x:v>S08.05</x:v>
      </x:c>
      <x:c r="B450" s="2" t="str">
        <x:v>S08</x:v>
      </x:c>
      <x:c r="C450" s="2" t="str">
        <x:v>gpt_connected</x:v>
      </x:c>
      <x:c r="D450" s="2" t="n">
        <x:v>2</x:v>
      </x:c>
      <x:c r="E450" s="8"/>
      <x:c r="F450" s="8"/>
      <x:c r="G450" s="9"/>
      <x:c r="H450" s="9"/>
      <x:c r="I450" s="8"/>
      <x:c r="J450" s="8"/>
      <x:c r="K450" s="2" t="str">
        <x:f>IF(OR(E450="",F450="",G450="",H450="",I450="",J450=""),"",IF(E450="Harness blocked","BLOCKED",IF(AND(E450="Present",F450="Supplied"),1,IF(OR(E450="Missing",E450="Not reached"),0,"CHECK"))))</x:f>
      </x:c>
      <x:c r="L450" s="2" t="str">
        <x:f>IF(ISNUMBER(K450),IF(AND(K450=1,I450="No"),1,0),K450)</x:f>
      </x:c>
      <x:c r="M450" s="2" t="n">
        <x:f>IF(ISNUMBER(K450),1,0)</x:f>
        <x:v>0</x:v>
      </x:c>
    </x:row>
    <x:row r="451" ht="24" customHeight="1">
      <x:c r="A451" s="2" t="str">
        <x:v>S08.06</x:v>
      </x:c>
      <x:c r="B451" s="2" t="str">
        <x:v>S08</x:v>
      </x:c>
      <x:c r="C451" s="2" t="str">
        <x:v>gpt_connected</x:v>
      </x:c>
      <x:c r="D451" s="2" t="n">
        <x:v>2</x:v>
      </x:c>
      <x:c r="E451" s="8"/>
      <x:c r="F451" s="8"/>
      <x:c r="G451" s="9"/>
      <x:c r="H451" s="9"/>
      <x:c r="I451" s="8"/>
      <x:c r="J451" s="8"/>
      <x:c r="K451" s="2" t="str">
        <x:f>IF(OR(E451="",F451="",G451="",H451="",I451="",J451=""),"",IF(E451="Harness blocked","BLOCKED",IF(AND(E451="Present",F451="Supplied"),1,IF(OR(E451="Missing",E451="Not reached"),0,"CHECK"))))</x:f>
      </x:c>
      <x:c r="L451" s="2" t="str">
        <x:f>IF(ISNUMBER(K451),IF(AND(K451=1,I451="No"),1,0),K451)</x:f>
      </x:c>
      <x:c r="M451" s="2" t="n">
        <x:f>IF(ISNUMBER(K451),1,0)</x:f>
        <x:v>0</x:v>
      </x:c>
    </x:row>
    <x:row r="452" ht="24" customHeight="1">
      <x:c r="A452" s="2" t="str">
        <x:v>S08.07</x:v>
      </x:c>
      <x:c r="B452" s="2" t="str">
        <x:v>S08</x:v>
      </x:c>
      <x:c r="C452" s="2" t="str">
        <x:v>gpt_connected</x:v>
      </x:c>
      <x:c r="D452" s="2" t="n">
        <x:v>2</x:v>
      </x:c>
      <x:c r="E452" s="8"/>
      <x:c r="F452" s="8"/>
      <x:c r="G452" s="9"/>
      <x:c r="H452" s="9"/>
      <x:c r="I452" s="8"/>
      <x:c r="J452" s="8"/>
      <x:c r="K452" s="2" t="str">
        <x:f>IF(OR(E452="",F452="",G452="",H452="",I452="",J452=""),"",IF(E452="Harness blocked","BLOCKED",IF(AND(E452="Present",F452="Supplied"),1,IF(OR(E452="Missing",E452="Not reached"),0,"CHECK"))))</x:f>
      </x:c>
      <x:c r="L452" s="2" t="str">
        <x:f>IF(ISNUMBER(K452),IF(AND(K452=1,I452="No"),1,0),K452)</x:f>
      </x:c>
      <x:c r="M452" s="2" t="n">
        <x:f>IF(ISNUMBER(K452),1,0)</x:f>
        <x:v>0</x:v>
      </x:c>
    </x:row>
    <x:row r="453" ht="24" customHeight="1">
      <x:c r="A453" s="2" t="str">
        <x:v>S08.08</x:v>
      </x:c>
      <x:c r="B453" s="2" t="str">
        <x:v>S08</x:v>
      </x:c>
      <x:c r="C453" s="2" t="str">
        <x:v>gpt_connected</x:v>
      </x:c>
      <x:c r="D453" s="2" t="n">
        <x:v>2</x:v>
      </x:c>
      <x:c r="E453" s="8"/>
      <x:c r="F453" s="8"/>
      <x:c r="G453" s="9"/>
      <x:c r="H453" s="9"/>
      <x:c r="I453" s="8"/>
      <x:c r="J453" s="8"/>
      <x:c r="K453" s="2" t="str">
        <x:f>IF(OR(E453="",F453="",G453="",H453="",I453="",J453=""),"",IF(E453="Harness blocked","BLOCKED",IF(AND(E453="Present",F453="Supplied"),1,IF(OR(E453="Missing",E453="Not reached"),0,"CHECK"))))</x:f>
      </x:c>
      <x:c r="L453" s="2" t="str">
        <x:f>IF(ISNUMBER(K453),IF(AND(K453=1,I453="No"),1,0),K453)</x:f>
      </x:c>
      <x:c r="M453" s="2" t="n">
        <x:f>IF(ISNUMBER(K453),1,0)</x:f>
        <x:v>0</x:v>
      </x:c>
    </x:row>
    <x:row r="454" ht="24" customHeight="1">
      <x:c r="A454" s="2" t="str">
        <x:v>S09.01</x:v>
      </x:c>
      <x:c r="B454" s="2" t="str">
        <x:v>S09</x:v>
      </x:c>
      <x:c r="C454" s="2" t="str">
        <x:v>gpt_connected</x:v>
      </x:c>
      <x:c r="D454" s="2" t="n">
        <x:v>2</x:v>
      </x:c>
      <x:c r="E454" s="8"/>
      <x:c r="F454" s="8"/>
      <x:c r="G454" s="9"/>
      <x:c r="H454" s="9"/>
      <x:c r="I454" s="8"/>
      <x:c r="J454" s="8"/>
      <x:c r="K454" s="2" t="str">
        <x:f>IF(OR(E454="",F454="",G454="",H454="",I454="",J454=""),"",IF(E454="Harness blocked","BLOCKED",IF(AND(E454="Present",F454="Supplied"),1,IF(OR(E454="Missing",E454="Not reached"),0,"CHECK"))))</x:f>
      </x:c>
      <x:c r="L454" s="2" t="str">
        <x:f>IF(ISNUMBER(K454),IF(AND(K454=1,I454="No"),1,0),K454)</x:f>
      </x:c>
      <x:c r="M454" s="2" t="n">
        <x:f>IF(ISNUMBER(K454),1,0)</x:f>
        <x:v>0</x:v>
      </x:c>
    </x:row>
    <x:row r="455" ht="24" customHeight="1">
      <x:c r="A455" s="2" t="str">
        <x:v>S09.02</x:v>
      </x:c>
      <x:c r="B455" s="2" t="str">
        <x:v>S09</x:v>
      </x:c>
      <x:c r="C455" s="2" t="str">
        <x:v>gpt_connected</x:v>
      </x:c>
      <x:c r="D455" s="2" t="n">
        <x:v>2</x:v>
      </x:c>
      <x:c r="E455" s="8"/>
      <x:c r="F455" s="8"/>
      <x:c r="G455" s="9"/>
      <x:c r="H455" s="9"/>
      <x:c r="I455" s="8"/>
      <x:c r="J455" s="8"/>
      <x:c r="K455" s="2" t="str">
        <x:f>IF(OR(E455="",F455="",G455="",H455="",I455="",J455=""),"",IF(E455="Harness blocked","BLOCKED",IF(AND(E455="Present",F455="Supplied"),1,IF(OR(E455="Missing",E455="Not reached"),0,"CHECK"))))</x:f>
      </x:c>
      <x:c r="L455" s="2" t="str">
        <x:f>IF(ISNUMBER(K455),IF(AND(K455=1,I455="No"),1,0),K455)</x:f>
      </x:c>
      <x:c r="M455" s="2" t="n">
        <x:f>IF(ISNUMBER(K455),1,0)</x:f>
        <x:v>0</x:v>
      </x:c>
    </x:row>
    <x:row r="456" ht="24" customHeight="1">
      <x:c r="A456" s="2" t="str">
        <x:v>S09.03</x:v>
      </x:c>
      <x:c r="B456" s="2" t="str">
        <x:v>S09</x:v>
      </x:c>
      <x:c r="C456" s="2" t="str">
        <x:v>gpt_connected</x:v>
      </x:c>
      <x:c r="D456" s="2" t="n">
        <x:v>2</x:v>
      </x:c>
      <x:c r="E456" s="8"/>
      <x:c r="F456" s="8"/>
      <x:c r="G456" s="9"/>
      <x:c r="H456" s="9"/>
      <x:c r="I456" s="8"/>
      <x:c r="J456" s="8"/>
      <x:c r="K456" s="2" t="str">
        <x:f>IF(OR(E456="",F456="",G456="",H456="",I456="",J456=""),"",IF(E456="Harness blocked","BLOCKED",IF(AND(E456="Present",F456="Supplied"),1,IF(OR(E456="Missing",E456="Not reached"),0,"CHECK"))))</x:f>
      </x:c>
      <x:c r="L456" s="2" t="str">
        <x:f>IF(ISNUMBER(K456),IF(AND(K456=1,I456="No"),1,0),K456)</x:f>
      </x:c>
      <x:c r="M456" s="2" t="n">
        <x:f>IF(ISNUMBER(K456),1,0)</x:f>
        <x:v>0</x:v>
      </x:c>
    </x:row>
    <x:row r="457" ht="24" customHeight="1">
      <x:c r="A457" s="2" t="str">
        <x:v>S09.04</x:v>
      </x:c>
      <x:c r="B457" s="2" t="str">
        <x:v>S09</x:v>
      </x:c>
      <x:c r="C457" s="2" t="str">
        <x:v>gpt_connected</x:v>
      </x:c>
      <x:c r="D457" s="2" t="n">
        <x:v>2</x:v>
      </x:c>
      <x:c r="E457" s="8"/>
      <x:c r="F457" s="8"/>
      <x:c r="G457" s="9"/>
      <x:c r="H457" s="9"/>
      <x:c r="I457" s="8"/>
      <x:c r="J457" s="8"/>
      <x:c r="K457" s="2" t="str">
        <x:f>IF(OR(E457="",F457="",G457="",H457="",I457="",J457=""),"",IF(E457="Harness blocked","BLOCKED",IF(AND(E457="Present",F457="Supplied"),1,IF(OR(E457="Missing",E457="Not reached"),0,"CHECK"))))</x:f>
      </x:c>
      <x:c r="L457" s="2" t="str">
        <x:f>IF(ISNUMBER(K457),IF(AND(K457=1,I457="No"),1,0),K457)</x:f>
      </x:c>
      <x:c r="M457" s="2" t="n">
        <x:f>IF(ISNUMBER(K457),1,0)</x:f>
        <x:v>0</x:v>
      </x:c>
    </x:row>
    <x:row r="458" ht="24" customHeight="1">
      <x:c r="A458" s="2" t="str">
        <x:v>S09.05</x:v>
      </x:c>
      <x:c r="B458" s="2" t="str">
        <x:v>S09</x:v>
      </x:c>
      <x:c r="C458" s="2" t="str">
        <x:v>gpt_connected</x:v>
      </x:c>
      <x:c r="D458" s="2" t="n">
        <x:v>2</x:v>
      </x:c>
      <x:c r="E458" s="8"/>
      <x:c r="F458" s="8"/>
      <x:c r="G458" s="9"/>
      <x:c r="H458" s="9"/>
      <x:c r="I458" s="8"/>
      <x:c r="J458" s="8"/>
      <x:c r="K458" s="2" t="str">
        <x:f>IF(OR(E458="",F458="",G458="",H458="",I458="",J458=""),"",IF(E458="Harness blocked","BLOCKED",IF(AND(E458="Present",F458="Supplied"),1,IF(OR(E458="Missing",E458="Not reached"),0,"CHECK"))))</x:f>
      </x:c>
      <x:c r="L458" s="2" t="str">
        <x:f>IF(ISNUMBER(K458),IF(AND(K458=1,I458="No"),1,0),K458)</x:f>
      </x:c>
      <x:c r="M458" s="2" t="n">
        <x:f>IF(ISNUMBER(K458),1,0)</x:f>
        <x:v>0</x:v>
      </x:c>
    </x:row>
    <x:row r="459" ht="24" customHeight="1">
      <x:c r="A459" s="2" t="str">
        <x:v>S09.06</x:v>
      </x:c>
      <x:c r="B459" s="2" t="str">
        <x:v>S09</x:v>
      </x:c>
      <x:c r="C459" s="2" t="str">
        <x:v>gpt_connected</x:v>
      </x:c>
      <x:c r="D459" s="2" t="n">
        <x:v>2</x:v>
      </x:c>
      <x:c r="E459" s="8"/>
      <x:c r="F459" s="8"/>
      <x:c r="G459" s="9"/>
      <x:c r="H459" s="9"/>
      <x:c r="I459" s="8"/>
      <x:c r="J459" s="8"/>
      <x:c r="K459" s="2" t="str">
        <x:f>IF(OR(E459="",F459="",G459="",H459="",I459="",J459=""),"",IF(E459="Harness blocked","BLOCKED",IF(AND(E459="Present",F459="Supplied"),1,IF(OR(E459="Missing",E459="Not reached"),0,"CHECK"))))</x:f>
      </x:c>
      <x:c r="L459" s="2" t="str">
        <x:f>IF(ISNUMBER(K459),IF(AND(K459=1,I459="No"),1,0),K459)</x:f>
      </x:c>
      <x:c r="M459" s="2" t="n">
        <x:f>IF(ISNUMBER(K459),1,0)</x:f>
        <x:v>0</x:v>
      </x:c>
    </x:row>
    <x:row r="460" ht="24" customHeight="1">
      <x:c r="A460" s="2" t="str">
        <x:v>S09.07</x:v>
      </x:c>
      <x:c r="B460" s="2" t="str">
        <x:v>S09</x:v>
      </x:c>
      <x:c r="C460" s="2" t="str">
        <x:v>gpt_connected</x:v>
      </x:c>
      <x:c r="D460" s="2" t="n">
        <x:v>2</x:v>
      </x:c>
      <x:c r="E460" s="8"/>
      <x:c r="F460" s="8"/>
      <x:c r="G460" s="9"/>
      <x:c r="H460" s="9"/>
      <x:c r="I460" s="8"/>
      <x:c r="J460" s="8"/>
      <x:c r="K460" s="2" t="str">
        <x:f>IF(OR(E460="",F460="",G460="",H460="",I460="",J460=""),"",IF(E460="Harness blocked","BLOCKED",IF(AND(E460="Present",F460="Supplied"),1,IF(OR(E460="Missing",E460="Not reached"),0,"CHECK"))))</x:f>
      </x:c>
      <x:c r="L460" s="2" t="str">
        <x:f>IF(ISNUMBER(K460),IF(AND(K460=1,I460="No"),1,0),K460)</x:f>
      </x:c>
      <x:c r="M460" s="2" t="n">
        <x:f>IF(ISNUMBER(K460),1,0)</x:f>
        <x:v>0</x:v>
      </x:c>
    </x:row>
    <x:row r="461" ht="24" customHeight="1">
      <x:c r="A461" s="2" t="str">
        <x:v>S09.08</x:v>
      </x:c>
      <x:c r="B461" s="2" t="str">
        <x:v>S09</x:v>
      </x:c>
      <x:c r="C461" s="2" t="str">
        <x:v>gpt_connected</x:v>
      </x:c>
      <x:c r="D461" s="2" t="n">
        <x:v>2</x:v>
      </x:c>
      <x:c r="E461" s="8"/>
      <x:c r="F461" s="8"/>
      <x:c r="G461" s="9"/>
      <x:c r="H461" s="9"/>
      <x:c r="I461" s="8"/>
      <x:c r="J461" s="8"/>
      <x:c r="K461" s="2" t="str">
        <x:f>IF(OR(E461="",F461="",G461="",H461="",I461="",J461=""),"",IF(E461="Harness blocked","BLOCKED",IF(AND(E461="Present",F461="Supplied"),1,IF(OR(E461="Missing",E461="Not reached"),0,"CHECK"))))</x:f>
      </x:c>
      <x:c r="L461" s="2" t="str">
        <x:f>IF(ISNUMBER(K461),IF(AND(K461=1,I461="No"),1,0),K461)</x:f>
      </x:c>
      <x:c r="M461" s="2" t="n">
        <x:f>IF(ISNUMBER(K461),1,0)</x:f>
        <x:v>0</x:v>
      </x:c>
    </x:row>
    <x:row r="462" ht="24" customHeight="1">
      <x:c r="A462" s="2" t="str">
        <x:v>S10.01</x:v>
      </x:c>
      <x:c r="B462" s="2" t="str">
        <x:v>S10</x:v>
      </x:c>
      <x:c r="C462" s="2" t="str">
        <x:v>gpt_connected</x:v>
      </x:c>
      <x:c r="D462" s="2" t="n">
        <x:v>2</x:v>
      </x:c>
      <x:c r="E462" s="8"/>
      <x:c r="F462" s="8"/>
      <x:c r="G462" s="9"/>
      <x:c r="H462" s="9"/>
      <x:c r="I462" s="8"/>
      <x:c r="J462" s="8"/>
      <x:c r="K462" s="2" t="str">
        <x:f>IF(OR(E462="",F462="",G462="",H462="",I462="",J462=""),"",IF(E462="Harness blocked","BLOCKED",IF(AND(E462="Present",F462="Supplied"),1,IF(OR(E462="Missing",E462="Not reached"),0,"CHECK"))))</x:f>
      </x:c>
      <x:c r="L462" s="2" t="str">
        <x:f>IF(ISNUMBER(K462),IF(AND(K462=1,I462="No"),1,0),K462)</x:f>
      </x:c>
      <x:c r="M462" s="2" t="n">
        <x:f>IF(ISNUMBER(K462),1,0)</x:f>
        <x:v>0</x:v>
      </x:c>
    </x:row>
    <x:row r="463" ht="24" customHeight="1">
      <x:c r="A463" s="2" t="str">
        <x:v>S10.02</x:v>
      </x:c>
      <x:c r="B463" s="2" t="str">
        <x:v>S10</x:v>
      </x:c>
      <x:c r="C463" s="2" t="str">
        <x:v>gpt_connected</x:v>
      </x:c>
      <x:c r="D463" s="2" t="n">
        <x:v>2</x:v>
      </x:c>
      <x:c r="E463" s="8"/>
      <x:c r="F463" s="8"/>
      <x:c r="G463" s="9"/>
      <x:c r="H463" s="9"/>
      <x:c r="I463" s="8"/>
      <x:c r="J463" s="8"/>
      <x:c r="K463" s="2" t="str">
        <x:f>IF(OR(E463="",F463="",G463="",H463="",I463="",J463=""),"",IF(E463="Harness blocked","BLOCKED",IF(AND(E463="Present",F463="Supplied"),1,IF(OR(E463="Missing",E463="Not reached"),0,"CHECK"))))</x:f>
      </x:c>
      <x:c r="L463" s="2" t="str">
        <x:f>IF(ISNUMBER(K463),IF(AND(K463=1,I463="No"),1,0),K463)</x:f>
      </x:c>
      <x:c r="M463" s="2" t="n">
        <x:f>IF(ISNUMBER(K463),1,0)</x:f>
        <x:v>0</x:v>
      </x:c>
    </x:row>
    <x:row r="464" ht="24" customHeight="1">
      <x:c r="A464" s="2" t="str">
        <x:v>S10.03</x:v>
      </x:c>
      <x:c r="B464" s="2" t="str">
        <x:v>S10</x:v>
      </x:c>
      <x:c r="C464" s="2" t="str">
        <x:v>gpt_connected</x:v>
      </x:c>
      <x:c r="D464" s="2" t="n">
        <x:v>2</x:v>
      </x:c>
      <x:c r="E464" s="8"/>
      <x:c r="F464" s="8"/>
      <x:c r="G464" s="9"/>
      <x:c r="H464" s="9"/>
      <x:c r="I464" s="8"/>
      <x:c r="J464" s="8"/>
      <x:c r="K464" s="2" t="str">
        <x:f>IF(OR(E464="",F464="",G464="",H464="",I464="",J464=""),"",IF(E464="Harness blocked","BLOCKED",IF(AND(E464="Present",F464="Supplied"),1,IF(OR(E464="Missing",E464="Not reached"),0,"CHECK"))))</x:f>
      </x:c>
      <x:c r="L464" s="2" t="str">
        <x:f>IF(ISNUMBER(K464),IF(AND(K464=1,I464="No"),1,0),K464)</x:f>
      </x:c>
      <x:c r="M464" s="2" t="n">
        <x:f>IF(ISNUMBER(K464),1,0)</x:f>
        <x:v>0</x:v>
      </x:c>
    </x:row>
    <x:row r="465" ht="24" customHeight="1">
      <x:c r="A465" s="2" t="str">
        <x:v>S10.04</x:v>
      </x:c>
      <x:c r="B465" s="2" t="str">
        <x:v>S10</x:v>
      </x:c>
      <x:c r="C465" s="2" t="str">
        <x:v>gpt_connected</x:v>
      </x:c>
      <x:c r="D465" s="2" t="n">
        <x:v>2</x:v>
      </x:c>
      <x:c r="E465" s="8"/>
      <x:c r="F465" s="8"/>
      <x:c r="G465" s="9"/>
      <x:c r="H465" s="9"/>
      <x:c r="I465" s="8"/>
      <x:c r="J465" s="8"/>
      <x:c r="K465" s="2" t="str">
        <x:f>IF(OR(E465="",F465="",G465="",H465="",I465="",J465=""),"",IF(E465="Harness blocked","BLOCKED",IF(AND(E465="Present",F465="Supplied"),1,IF(OR(E465="Missing",E465="Not reached"),0,"CHECK"))))</x:f>
      </x:c>
      <x:c r="L465" s="2" t="str">
        <x:f>IF(ISNUMBER(K465),IF(AND(K465=1,I465="No"),1,0),K465)</x:f>
      </x:c>
      <x:c r="M465" s="2" t="n">
        <x:f>IF(ISNUMBER(K465),1,0)</x:f>
        <x:v>0</x:v>
      </x:c>
    </x:row>
    <x:row r="466" ht="24" customHeight="1">
      <x:c r="A466" s="2" t="str">
        <x:v>S10.05</x:v>
      </x:c>
      <x:c r="B466" s="2" t="str">
        <x:v>S10</x:v>
      </x:c>
      <x:c r="C466" s="2" t="str">
        <x:v>gpt_connected</x:v>
      </x:c>
      <x:c r="D466" s="2" t="n">
        <x:v>2</x:v>
      </x:c>
      <x:c r="E466" s="8"/>
      <x:c r="F466" s="8"/>
      <x:c r="G466" s="9"/>
      <x:c r="H466" s="9"/>
      <x:c r="I466" s="8"/>
      <x:c r="J466" s="8"/>
      <x:c r="K466" s="2" t="str">
        <x:f>IF(OR(E466="",F466="",G466="",H466="",I466="",J466=""),"",IF(E466="Harness blocked","BLOCKED",IF(AND(E466="Present",F466="Supplied"),1,IF(OR(E466="Missing",E466="Not reached"),0,"CHECK"))))</x:f>
      </x:c>
      <x:c r="L466" s="2" t="str">
        <x:f>IF(ISNUMBER(K466),IF(AND(K466=1,I466="No"),1,0),K466)</x:f>
      </x:c>
      <x:c r="M466" s="2" t="n">
        <x:f>IF(ISNUMBER(K466),1,0)</x:f>
        <x:v>0</x:v>
      </x:c>
    </x:row>
    <x:row r="467" ht="24" customHeight="1">
      <x:c r="A467" s="2" t="str">
        <x:v>S10.06</x:v>
      </x:c>
      <x:c r="B467" s="2" t="str">
        <x:v>S10</x:v>
      </x:c>
      <x:c r="C467" s="2" t="str">
        <x:v>gpt_connected</x:v>
      </x:c>
      <x:c r="D467" s="2" t="n">
        <x:v>2</x:v>
      </x:c>
      <x:c r="E467" s="8"/>
      <x:c r="F467" s="8"/>
      <x:c r="G467" s="9"/>
      <x:c r="H467" s="9"/>
      <x:c r="I467" s="8"/>
      <x:c r="J467" s="8"/>
      <x:c r="K467" s="2" t="str">
        <x:f>IF(OR(E467="",F467="",G467="",H467="",I467="",J467=""),"",IF(E467="Harness blocked","BLOCKED",IF(AND(E467="Present",F467="Supplied"),1,IF(OR(E467="Missing",E467="Not reached"),0,"CHECK"))))</x:f>
      </x:c>
      <x:c r="L467" s="2" t="str">
        <x:f>IF(ISNUMBER(K467),IF(AND(K467=1,I467="No"),1,0),K467)</x:f>
      </x:c>
      <x:c r="M467" s="2" t="n">
        <x:f>IF(ISNUMBER(K467),1,0)</x:f>
        <x:v>0</x:v>
      </x:c>
    </x:row>
    <x:row r="468" ht="24" customHeight="1">
      <x:c r="A468" s="2" t="str">
        <x:v>S10.07</x:v>
      </x:c>
      <x:c r="B468" s="2" t="str">
        <x:v>S10</x:v>
      </x:c>
      <x:c r="C468" s="2" t="str">
        <x:v>gpt_connected</x:v>
      </x:c>
      <x:c r="D468" s="2" t="n">
        <x:v>2</x:v>
      </x:c>
      <x:c r="E468" s="8"/>
      <x:c r="F468" s="8"/>
      <x:c r="G468" s="9"/>
      <x:c r="H468" s="9"/>
      <x:c r="I468" s="8"/>
      <x:c r="J468" s="8"/>
      <x:c r="K468" s="2" t="str">
        <x:f>IF(OR(E468="",F468="",G468="",H468="",I468="",J468=""),"",IF(E468="Harness blocked","BLOCKED",IF(AND(E468="Present",F468="Supplied"),1,IF(OR(E468="Missing",E468="Not reached"),0,"CHECK"))))</x:f>
      </x:c>
      <x:c r="L468" s="2" t="str">
        <x:f>IF(ISNUMBER(K468),IF(AND(K468=1,I468="No"),1,0),K468)</x:f>
      </x:c>
      <x:c r="M468" s="2" t="n">
        <x:f>IF(ISNUMBER(K468),1,0)</x:f>
        <x:v>0</x:v>
      </x:c>
    </x:row>
    <x:row r="469" ht="24" customHeight="1">
      <x:c r="A469" s="2" t="str">
        <x:v>S10.08</x:v>
      </x:c>
      <x:c r="B469" s="2" t="str">
        <x:v>S10</x:v>
      </x:c>
      <x:c r="C469" s="2" t="str">
        <x:v>gpt_connected</x:v>
      </x:c>
      <x:c r="D469" s="2" t="n">
        <x:v>2</x:v>
      </x:c>
      <x:c r="E469" s="8"/>
      <x:c r="F469" s="8"/>
      <x:c r="G469" s="9"/>
      <x:c r="H469" s="9"/>
      <x:c r="I469" s="8"/>
      <x:c r="J469" s="8"/>
      <x:c r="K469" s="2" t="str">
        <x:f>IF(OR(E469="",F469="",G469="",H469="",I469="",J469=""),"",IF(E469="Harness blocked","BLOCKED",IF(AND(E469="Present",F469="Supplied"),1,IF(OR(E469="Missing",E469="Not reached"),0,"CHECK"))))</x:f>
      </x:c>
      <x:c r="L469" s="2" t="str">
        <x:f>IF(ISNUMBER(K469),IF(AND(K469=1,I469="No"),1,0),K469)</x:f>
      </x:c>
      <x:c r="M469" s="2" t="n">
        <x:f>IF(ISNUMBER(K469),1,0)</x:f>
        <x:v>0</x:v>
      </x:c>
    </x:row>
    <x:row r="470" ht="24" customHeight="1">
      <x:c r="A470" s="2" t="str">
        <x:v>S11.01</x:v>
      </x:c>
      <x:c r="B470" s="2" t="str">
        <x:v>S11</x:v>
      </x:c>
      <x:c r="C470" s="2" t="str">
        <x:v>gpt_connected</x:v>
      </x:c>
      <x:c r="D470" s="2" t="n">
        <x:v>2</x:v>
      </x:c>
      <x:c r="E470" s="8"/>
      <x:c r="F470" s="8"/>
      <x:c r="G470" s="9"/>
      <x:c r="H470" s="9"/>
      <x:c r="I470" s="8"/>
      <x:c r="J470" s="8"/>
      <x:c r="K470" s="2" t="str">
        <x:f>IF(OR(E470="",F470="",G470="",H470="",I470="",J470=""),"",IF(E470="Harness blocked","BLOCKED",IF(AND(E470="Present",F470="Supplied"),1,IF(OR(E470="Missing",E470="Not reached"),0,"CHECK"))))</x:f>
      </x:c>
      <x:c r="L470" s="2" t="str">
        <x:f>IF(ISNUMBER(K470),IF(AND(K470=1,I470="No"),1,0),K470)</x:f>
      </x:c>
      <x:c r="M470" s="2" t="n">
        <x:f>IF(ISNUMBER(K470),1,0)</x:f>
        <x:v>0</x:v>
      </x:c>
    </x:row>
    <x:row r="471" ht="24" customHeight="1">
      <x:c r="A471" s="2" t="str">
        <x:v>S11.02</x:v>
      </x:c>
      <x:c r="B471" s="2" t="str">
        <x:v>S11</x:v>
      </x:c>
      <x:c r="C471" s="2" t="str">
        <x:v>gpt_connected</x:v>
      </x:c>
      <x:c r="D471" s="2" t="n">
        <x:v>2</x:v>
      </x:c>
      <x:c r="E471" s="8"/>
      <x:c r="F471" s="8"/>
      <x:c r="G471" s="9"/>
      <x:c r="H471" s="9"/>
      <x:c r="I471" s="8"/>
      <x:c r="J471" s="8"/>
      <x:c r="K471" s="2" t="str">
        <x:f>IF(OR(E471="",F471="",G471="",H471="",I471="",J471=""),"",IF(E471="Harness blocked","BLOCKED",IF(AND(E471="Present",F471="Supplied"),1,IF(OR(E471="Missing",E471="Not reached"),0,"CHECK"))))</x:f>
      </x:c>
      <x:c r="L471" s="2" t="str">
        <x:f>IF(ISNUMBER(K471),IF(AND(K471=1,I471="No"),1,0),K471)</x:f>
      </x:c>
      <x:c r="M471" s="2" t="n">
        <x:f>IF(ISNUMBER(K471),1,0)</x:f>
        <x:v>0</x:v>
      </x:c>
    </x:row>
    <x:row r="472" ht="24" customHeight="1">
      <x:c r="A472" s="2" t="str">
        <x:v>S11.03</x:v>
      </x:c>
      <x:c r="B472" s="2" t="str">
        <x:v>S11</x:v>
      </x:c>
      <x:c r="C472" s="2" t="str">
        <x:v>gpt_connected</x:v>
      </x:c>
      <x:c r="D472" s="2" t="n">
        <x:v>2</x:v>
      </x:c>
      <x:c r="E472" s="8"/>
      <x:c r="F472" s="8"/>
      <x:c r="G472" s="9"/>
      <x:c r="H472" s="9"/>
      <x:c r="I472" s="8"/>
      <x:c r="J472" s="8"/>
      <x:c r="K472" s="2" t="str">
        <x:f>IF(OR(E472="",F472="",G472="",H472="",I472="",J472=""),"",IF(E472="Harness blocked","BLOCKED",IF(AND(E472="Present",F472="Supplied"),1,IF(OR(E472="Missing",E472="Not reached"),0,"CHECK"))))</x:f>
      </x:c>
      <x:c r="L472" s="2" t="str">
        <x:f>IF(ISNUMBER(K472),IF(AND(K472=1,I472="No"),1,0),K472)</x:f>
      </x:c>
      <x:c r="M472" s="2" t="n">
        <x:f>IF(ISNUMBER(K472),1,0)</x:f>
        <x:v>0</x:v>
      </x:c>
    </x:row>
    <x:row r="473" ht="24" customHeight="1">
      <x:c r="A473" s="2" t="str">
        <x:v>S11.04</x:v>
      </x:c>
      <x:c r="B473" s="2" t="str">
        <x:v>S11</x:v>
      </x:c>
      <x:c r="C473" s="2" t="str">
        <x:v>gpt_connected</x:v>
      </x:c>
      <x:c r="D473" s="2" t="n">
        <x:v>2</x:v>
      </x:c>
      <x:c r="E473" s="8"/>
      <x:c r="F473" s="8"/>
      <x:c r="G473" s="9"/>
      <x:c r="H473" s="9"/>
      <x:c r="I473" s="8"/>
      <x:c r="J473" s="8"/>
      <x:c r="K473" s="2" t="str">
        <x:f>IF(OR(E473="",F473="",G473="",H473="",I473="",J473=""),"",IF(E473="Harness blocked","BLOCKED",IF(AND(E473="Present",F473="Supplied"),1,IF(OR(E473="Missing",E473="Not reached"),0,"CHECK"))))</x:f>
      </x:c>
      <x:c r="L473" s="2" t="str">
        <x:f>IF(ISNUMBER(K473),IF(AND(K473=1,I473="No"),1,0),K473)</x:f>
      </x:c>
      <x:c r="M473" s="2" t="n">
        <x:f>IF(ISNUMBER(K473),1,0)</x:f>
        <x:v>0</x:v>
      </x:c>
    </x:row>
    <x:row r="474" ht="24" customHeight="1">
      <x:c r="A474" s="2" t="str">
        <x:v>S11.05</x:v>
      </x:c>
      <x:c r="B474" s="2" t="str">
        <x:v>S11</x:v>
      </x:c>
      <x:c r="C474" s="2" t="str">
        <x:v>gpt_connected</x:v>
      </x:c>
      <x:c r="D474" s="2" t="n">
        <x:v>2</x:v>
      </x:c>
      <x:c r="E474" s="8"/>
      <x:c r="F474" s="8"/>
      <x:c r="G474" s="9"/>
      <x:c r="H474" s="9"/>
      <x:c r="I474" s="8"/>
      <x:c r="J474" s="8"/>
      <x:c r="K474" s="2" t="str">
        <x:f>IF(OR(E474="",F474="",G474="",H474="",I474="",J474=""),"",IF(E474="Harness blocked","BLOCKED",IF(AND(E474="Present",F474="Supplied"),1,IF(OR(E474="Missing",E474="Not reached"),0,"CHECK"))))</x:f>
      </x:c>
      <x:c r="L474" s="2" t="str">
        <x:f>IF(ISNUMBER(K474),IF(AND(K474=1,I474="No"),1,0),K474)</x:f>
      </x:c>
      <x:c r="M474" s="2" t="n">
        <x:f>IF(ISNUMBER(K474),1,0)</x:f>
        <x:v>0</x:v>
      </x:c>
    </x:row>
    <x:row r="475" ht="24" customHeight="1">
      <x:c r="A475" s="2" t="str">
        <x:v>S11.06</x:v>
      </x:c>
      <x:c r="B475" s="2" t="str">
        <x:v>S11</x:v>
      </x:c>
      <x:c r="C475" s="2" t="str">
        <x:v>gpt_connected</x:v>
      </x:c>
      <x:c r="D475" s="2" t="n">
        <x:v>2</x:v>
      </x:c>
      <x:c r="E475" s="8"/>
      <x:c r="F475" s="8"/>
      <x:c r="G475" s="9"/>
      <x:c r="H475" s="9"/>
      <x:c r="I475" s="8"/>
      <x:c r="J475" s="8"/>
      <x:c r="K475" s="2" t="str">
        <x:f>IF(OR(E475="",F475="",G475="",H475="",I475="",J475=""),"",IF(E475="Harness blocked","BLOCKED",IF(AND(E475="Present",F475="Supplied"),1,IF(OR(E475="Missing",E475="Not reached"),0,"CHECK"))))</x:f>
      </x:c>
      <x:c r="L475" s="2" t="str">
        <x:f>IF(ISNUMBER(K475),IF(AND(K475=1,I475="No"),1,0),K475)</x:f>
      </x:c>
      <x:c r="M475" s="2" t="n">
        <x:f>IF(ISNUMBER(K475),1,0)</x:f>
        <x:v>0</x:v>
      </x:c>
    </x:row>
    <x:row r="476" ht="24" customHeight="1">
      <x:c r="A476" s="2" t="str">
        <x:v>S11.07</x:v>
      </x:c>
      <x:c r="B476" s="2" t="str">
        <x:v>S11</x:v>
      </x:c>
      <x:c r="C476" s="2" t="str">
        <x:v>gpt_connected</x:v>
      </x:c>
      <x:c r="D476" s="2" t="n">
        <x:v>2</x:v>
      </x:c>
      <x:c r="E476" s="8"/>
      <x:c r="F476" s="8"/>
      <x:c r="G476" s="9"/>
      <x:c r="H476" s="9"/>
      <x:c r="I476" s="8"/>
      <x:c r="J476" s="8"/>
      <x:c r="K476" s="2" t="str">
        <x:f>IF(OR(E476="",F476="",G476="",H476="",I476="",J476=""),"",IF(E476="Harness blocked","BLOCKED",IF(AND(E476="Present",F476="Supplied"),1,IF(OR(E476="Missing",E476="Not reached"),0,"CHECK"))))</x:f>
      </x:c>
      <x:c r="L476" s="2" t="str">
        <x:f>IF(ISNUMBER(K476),IF(AND(K476=1,I476="No"),1,0),K476)</x:f>
      </x:c>
      <x:c r="M476" s="2" t="n">
        <x:f>IF(ISNUMBER(K476),1,0)</x:f>
        <x:v>0</x:v>
      </x:c>
    </x:row>
    <x:row r="477" ht="24" customHeight="1">
      <x:c r="A477" s="2" t="str">
        <x:v>S11.08</x:v>
      </x:c>
      <x:c r="B477" s="2" t="str">
        <x:v>S11</x:v>
      </x:c>
      <x:c r="C477" s="2" t="str">
        <x:v>gpt_connected</x:v>
      </x:c>
      <x:c r="D477" s="2" t="n">
        <x:v>2</x:v>
      </x:c>
      <x:c r="E477" s="8"/>
      <x:c r="F477" s="8"/>
      <x:c r="G477" s="9"/>
      <x:c r="H477" s="9"/>
      <x:c r="I477" s="8"/>
      <x:c r="J477" s="8"/>
      <x:c r="K477" s="2" t="str">
        <x:f>IF(OR(E477="",F477="",G477="",H477="",I477="",J477=""),"",IF(E477="Harness blocked","BLOCKED",IF(AND(E477="Present",F477="Supplied"),1,IF(OR(E477="Missing",E477="Not reached"),0,"CHECK"))))</x:f>
      </x:c>
      <x:c r="L477" s="2" t="str">
        <x:f>IF(ISNUMBER(K477),IF(AND(K477=1,I477="No"),1,0),K477)</x:f>
      </x:c>
      <x:c r="M477" s="2" t="n">
        <x:f>IF(ISNUMBER(K477),1,0)</x:f>
        <x:v>0</x:v>
      </x:c>
    </x:row>
    <x:row r="478" ht="24" customHeight="1">
      <x:c r="A478" s="2" t="str">
        <x:v>S12.01</x:v>
      </x:c>
      <x:c r="B478" s="2" t="str">
        <x:v>S12</x:v>
      </x:c>
      <x:c r="C478" s="2" t="str">
        <x:v>gpt_connected</x:v>
      </x:c>
      <x:c r="D478" s="2" t="n">
        <x:v>2</x:v>
      </x:c>
      <x:c r="E478" s="8"/>
      <x:c r="F478" s="8"/>
      <x:c r="G478" s="9"/>
      <x:c r="H478" s="9"/>
      <x:c r="I478" s="8"/>
      <x:c r="J478" s="8"/>
      <x:c r="K478" s="2" t="str">
        <x:f>IF(OR(E478="",F478="",G478="",H478="",I478="",J478=""),"",IF(E478="Harness blocked","BLOCKED",IF(AND(E478="Present",F478="Supplied"),1,IF(OR(E478="Missing",E478="Not reached"),0,"CHECK"))))</x:f>
      </x:c>
      <x:c r="L478" s="2" t="str">
        <x:f>IF(ISNUMBER(K478),IF(AND(K478=1,I478="No"),1,0),K478)</x:f>
      </x:c>
      <x:c r="M478" s="2" t="n">
        <x:f>IF(ISNUMBER(K478),1,0)</x:f>
        <x:v>0</x:v>
      </x:c>
    </x:row>
    <x:row r="479" ht="24" customHeight="1">
      <x:c r="A479" s="2" t="str">
        <x:v>S12.02</x:v>
      </x:c>
      <x:c r="B479" s="2" t="str">
        <x:v>S12</x:v>
      </x:c>
      <x:c r="C479" s="2" t="str">
        <x:v>gpt_connected</x:v>
      </x:c>
      <x:c r="D479" s="2" t="n">
        <x:v>2</x:v>
      </x:c>
      <x:c r="E479" s="8"/>
      <x:c r="F479" s="8"/>
      <x:c r="G479" s="9"/>
      <x:c r="H479" s="9"/>
      <x:c r="I479" s="8"/>
      <x:c r="J479" s="8"/>
      <x:c r="K479" s="2" t="str">
        <x:f>IF(OR(E479="",F479="",G479="",H479="",I479="",J479=""),"",IF(E479="Harness blocked","BLOCKED",IF(AND(E479="Present",F479="Supplied"),1,IF(OR(E479="Missing",E479="Not reached"),0,"CHECK"))))</x:f>
      </x:c>
      <x:c r="L479" s="2" t="str">
        <x:f>IF(ISNUMBER(K479),IF(AND(K479=1,I479="No"),1,0),K479)</x:f>
      </x:c>
      <x:c r="M479" s="2" t="n">
        <x:f>IF(ISNUMBER(K479),1,0)</x:f>
        <x:v>0</x:v>
      </x:c>
    </x:row>
    <x:row r="480" ht="24" customHeight="1">
      <x:c r="A480" s="2" t="str">
        <x:v>S12.03</x:v>
      </x:c>
      <x:c r="B480" s="2" t="str">
        <x:v>S12</x:v>
      </x:c>
      <x:c r="C480" s="2" t="str">
        <x:v>gpt_connected</x:v>
      </x:c>
      <x:c r="D480" s="2" t="n">
        <x:v>2</x:v>
      </x:c>
      <x:c r="E480" s="8"/>
      <x:c r="F480" s="8"/>
      <x:c r="G480" s="9"/>
      <x:c r="H480" s="9"/>
      <x:c r="I480" s="8"/>
      <x:c r="J480" s="8"/>
      <x:c r="K480" s="2" t="str">
        <x:f>IF(OR(E480="",F480="",G480="",H480="",I480="",J480=""),"",IF(E480="Harness blocked","BLOCKED",IF(AND(E480="Present",F480="Supplied"),1,IF(OR(E480="Missing",E480="Not reached"),0,"CHECK"))))</x:f>
      </x:c>
      <x:c r="L480" s="2" t="str">
        <x:f>IF(ISNUMBER(K480),IF(AND(K480=1,I480="No"),1,0),K480)</x:f>
      </x:c>
      <x:c r="M480" s="2" t="n">
        <x:f>IF(ISNUMBER(K480),1,0)</x:f>
        <x:v>0</x:v>
      </x:c>
    </x:row>
    <x:row r="481" ht="24" customHeight="1">
      <x:c r="A481" s="2" t="str">
        <x:v>S12.04</x:v>
      </x:c>
      <x:c r="B481" s="2" t="str">
        <x:v>S12</x:v>
      </x:c>
      <x:c r="C481" s="2" t="str">
        <x:v>gpt_connected</x:v>
      </x:c>
      <x:c r="D481" s="2" t="n">
        <x:v>2</x:v>
      </x:c>
      <x:c r="E481" s="8"/>
      <x:c r="F481" s="8"/>
      <x:c r="G481" s="9"/>
      <x:c r="H481" s="9"/>
      <x:c r="I481" s="8"/>
      <x:c r="J481" s="8"/>
      <x:c r="K481" s="2" t="str">
        <x:f>IF(OR(E481="",F481="",G481="",H481="",I481="",J481=""),"",IF(E481="Harness blocked","BLOCKED",IF(AND(E481="Present",F481="Supplied"),1,IF(OR(E481="Missing",E481="Not reached"),0,"CHECK"))))</x:f>
      </x:c>
      <x:c r="L481" s="2" t="str">
        <x:f>IF(ISNUMBER(K481),IF(AND(K481=1,I481="No"),1,0),K481)</x:f>
      </x:c>
      <x:c r="M481" s="2" t="n">
        <x:f>IF(ISNUMBER(K481),1,0)</x:f>
        <x:v>0</x:v>
      </x:c>
    </x:row>
    <x:row r="482" ht="24" customHeight="1">
      <x:c r="A482" s="2" t="str">
        <x:v>S12.05</x:v>
      </x:c>
      <x:c r="B482" s="2" t="str">
        <x:v>S12</x:v>
      </x:c>
      <x:c r="C482" s="2" t="str">
        <x:v>gpt_connected</x:v>
      </x:c>
      <x:c r="D482" s="2" t="n">
        <x:v>2</x:v>
      </x:c>
      <x:c r="E482" s="8"/>
      <x:c r="F482" s="8"/>
      <x:c r="G482" s="9"/>
      <x:c r="H482" s="9"/>
      <x:c r="I482" s="8"/>
      <x:c r="J482" s="8"/>
      <x:c r="K482" s="2" t="str">
        <x:f>IF(OR(E482="",F482="",G482="",H482="",I482="",J482=""),"",IF(E482="Harness blocked","BLOCKED",IF(AND(E482="Present",F482="Supplied"),1,IF(OR(E482="Missing",E482="Not reached"),0,"CHECK"))))</x:f>
      </x:c>
      <x:c r="L482" s="2" t="str">
        <x:f>IF(ISNUMBER(K482),IF(AND(K482=1,I482="No"),1,0),K482)</x:f>
      </x:c>
      <x:c r="M482" s="2" t="n">
        <x:f>IF(ISNUMBER(K482),1,0)</x:f>
        <x:v>0</x:v>
      </x:c>
    </x:row>
    <x:row r="483" ht="24" customHeight="1">
      <x:c r="A483" s="2" t="str">
        <x:v>S12.06</x:v>
      </x:c>
      <x:c r="B483" s="2" t="str">
        <x:v>S12</x:v>
      </x:c>
      <x:c r="C483" s="2" t="str">
        <x:v>gpt_connected</x:v>
      </x:c>
      <x:c r="D483" s="2" t="n">
        <x:v>2</x:v>
      </x:c>
      <x:c r="E483" s="8"/>
      <x:c r="F483" s="8"/>
      <x:c r="G483" s="9"/>
      <x:c r="H483" s="9"/>
      <x:c r="I483" s="8"/>
      <x:c r="J483" s="8"/>
      <x:c r="K483" s="2" t="str">
        <x:f>IF(OR(E483="",F483="",G483="",H483="",I483="",J483=""),"",IF(E483="Harness blocked","BLOCKED",IF(AND(E483="Present",F483="Supplied"),1,IF(OR(E483="Missing",E483="Not reached"),0,"CHECK"))))</x:f>
      </x:c>
      <x:c r="L483" s="2" t="str">
        <x:f>IF(ISNUMBER(K483),IF(AND(K483=1,I483="No"),1,0),K483)</x:f>
      </x:c>
      <x:c r="M483" s="2" t="n">
        <x:f>IF(ISNUMBER(K483),1,0)</x:f>
        <x:v>0</x:v>
      </x:c>
    </x:row>
    <x:row r="484" ht="24" customHeight="1">
      <x:c r="A484" s="2" t="str">
        <x:v>S12.07</x:v>
      </x:c>
      <x:c r="B484" s="2" t="str">
        <x:v>S12</x:v>
      </x:c>
      <x:c r="C484" s="2" t="str">
        <x:v>gpt_connected</x:v>
      </x:c>
      <x:c r="D484" s="2" t="n">
        <x:v>2</x:v>
      </x:c>
      <x:c r="E484" s="8"/>
      <x:c r="F484" s="8"/>
      <x:c r="G484" s="9"/>
      <x:c r="H484" s="9"/>
      <x:c r="I484" s="8"/>
      <x:c r="J484" s="8"/>
      <x:c r="K484" s="2" t="str">
        <x:f>IF(OR(E484="",F484="",G484="",H484="",I484="",J484=""),"",IF(E484="Harness blocked","BLOCKED",IF(AND(E484="Present",F484="Supplied"),1,IF(OR(E484="Missing",E484="Not reached"),0,"CHECK"))))</x:f>
      </x:c>
      <x:c r="L484" s="2" t="str">
        <x:f>IF(ISNUMBER(K484),IF(AND(K484=1,I484="No"),1,0),K484)</x:f>
      </x:c>
      <x:c r="M484" s="2" t="n">
        <x:f>IF(ISNUMBER(K484),1,0)</x:f>
        <x:v>0</x:v>
      </x:c>
    </x:row>
    <x:row r="485" ht="24" customHeight="1">
      <x:c r="A485" s="2" t="str">
        <x:v>S12.08</x:v>
      </x:c>
      <x:c r="B485" s="2" t="str">
        <x:v>S12</x:v>
      </x:c>
      <x:c r="C485" s="2" t="str">
        <x:v>gpt_connected</x:v>
      </x:c>
      <x:c r="D485" s="2" t="n">
        <x:v>2</x:v>
      </x:c>
      <x:c r="E485" s="8"/>
      <x:c r="F485" s="8"/>
      <x:c r="G485" s="9"/>
      <x:c r="H485" s="9"/>
      <x:c r="I485" s="8"/>
      <x:c r="J485" s="8"/>
      <x:c r="K485" s="2" t="str">
        <x:f>IF(OR(E485="",F485="",G485="",H485="",I485="",J485=""),"",IF(E485="Harness blocked","BLOCKED",IF(AND(E485="Present",F485="Supplied"),1,IF(OR(E485="Missing",E485="Not reached"),0,"CHECK"))))</x:f>
      </x:c>
      <x:c r="L485" s="2" t="str">
        <x:f>IF(ISNUMBER(K485),IF(AND(K485=1,I485="No"),1,0),K485)</x:f>
      </x:c>
      <x:c r="M485" s="2" t="n">
        <x:f>IF(ISNUMBER(K485),1,0)</x:f>
        <x:v>0</x:v>
      </x:c>
    </x:row>
    <x:row r="486" ht="24" customHeight="1">
      <x:c r="A486" s="2" t="str">
        <x:v>S01.01</x:v>
      </x:c>
      <x:c r="B486" s="2" t="str">
        <x:v>S01</x:v>
      </x:c>
      <x:c r="C486" s="2" t="str">
        <x:v>gpt_connected</x:v>
      </x:c>
      <x:c r="D486" s="2" t="n">
        <x:v>3</x:v>
      </x:c>
      <x:c r="E486" s="8"/>
      <x:c r="F486" s="8"/>
      <x:c r="G486" s="9"/>
      <x:c r="H486" s="9"/>
      <x:c r="I486" s="8"/>
      <x:c r="J486" s="8"/>
      <x:c r="K486" s="2" t="str">
        <x:f>IF(OR(E486="",F486="",G486="",H486="",I486="",J486=""),"",IF(E486="Harness blocked","BLOCKED",IF(AND(E486="Present",F486="Supplied"),1,IF(OR(E486="Missing",E486="Not reached"),0,"CHECK"))))</x:f>
      </x:c>
      <x:c r="L486" s="2" t="str">
        <x:f>IF(ISNUMBER(K486),IF(AND(K486=1,I486="No"),1,0),K486)</x:f>
      </x:c>
      <x:c r="M486" s="2" t="n">
        <x:f>IF(ISNUMBER(K486),1,0)</x:f>
        <x:v>0</x:v>
      </x:c>
    </x:row>
    <x:row r="487" ht="24" customHeight="1">
      <x:c r="A487" s="2" t="str">
        <x:v>S01.02</x:v>
      </x:c>
      <x:c r="B487" s="2" t="str">
        <x:v>S01</x:v>
      </x:c>
      <x:c r="C487" s="2" t="str">
        <x:v>gpt_connected</x:v>
      </x:c>
      <x:c r="D487" s="2" t="n">
        <x:v>3</x:v>
      </x:c>
      <x:c r="E487" s="8"/>
      <x:c r="F487" s="8"/>
      <x:c r="G487" s="9"/>
      <x:c r="H487" s="9"/>
      <x:c r="I487" s="8"/>
      <x:c r="J487" s="8"/>
      <x:c r="K487" s="2" t="str">
        <x:f>IF(OR(E487="",F487="",G487="",H487="",I487="",J487=""),"",IF(E487="Harness blocked","BLOCKED",IF(AND(E487="Present",F487="Supplied"),1,IF(OR(E487="Missing",E487="Not reached"),0,"CHECK"))))</x:f>
      </x:c>
      <x:c r="L487" s="2" t="str">
        <x:f>IF(ISNUMBER(K487),IF(AND(K487=1,I487="No"),1,0),K487)</x:f>
      </x:c>
      <x:c r="M487" s="2" t="n">
        <x:f>IF(ISNUMBER(K487),1,0)</x:f>
        <x:v>0</x:v>
      </x:c>
    </x:row>
    <x:row r="488" ht="24" customHeight="1">
      <x:c r="A488" s="2" t="str">
        <x:v>S01.03</x:v>
      </x:c>
      <x:c r="B488" s="2" t="str">
        <x:v>S01</x:v>
      </x:c>
      <x:c r="C488" s="2" t="str">
        <x:v>gpt_connected</x:v>
      </x:c>
      <x:c r="D488" s="2" t="n">
        <x:v>3</x:v>
      </x:c>
      <x:c r="E488" s="8"/>
      <x:c r="F488" s="8"/>
      <x:c r="G488" s="9"/>
      <x:c r="H488" s="9"/>
      <x:c r="I488" s="8"/>
      <x:c r="J488" s="8"/>
      <x:c r="K488" s="2" t="str">
        <x:f>IF(OR(E488="",F488="",G488="",H488="",I488="",J488=""),"",IF(E488="Harness blocked","BLOCKED",IF(AND(E488="Present",F488="Supplied"),1,IF(OR(E488="Missing",E488="Not reached"),0,"CHECK"))))</x:f>
      </x:c>
      <x:c r="L488" s="2" t="str">
        <x:f>IF(ISNUMBER(K488),IF(AND(K488=1,I488="No"),1,0),K488)</x:f>
      </x:c>
      <x:c r="M488" s="2" t="n">
        <x:f>IF(ISNUMBER(K488),1,0)</x:f>
        <x:v>0</x:v>
      </x:c>
    </x:row>
    <x:row r="489" ht="24" customHeight="1">
      <x:c r="A489" s="2" t="str">
        <x:v>S01.04</x:v>
      </x:c>
      <x:c r="B489" s="2" t="str">
        <x:v>S01</x:v>
      </x:c>
      <x:c r="C489" s="2" t="str">
        <x:v>gpt_connected</x:v>
      </x:c>
      <x:c r="D489" s="2" t="n">
        <x:v>3</x:v>
      </x:c>
      <x:c r="E489" s="8"/>
      <x:c r="F489" s="8"/>
      <x:c r="G489" s="9"/>
      <x:c r="H489" s="9"/>
      <x:c r="I489" s="8"/>
      <x:c r="J489" s="8"/>
      <x:c r="K489" s="2" t="str">
        <x:f>IF(OR(E489="",F489="",G489="",H489="",I489="",J489=""),"",IF(E489="Harness blocked","BLOCKED",IF(AND(E489="Present",F489="Supplied"),1,IF(OR(E489="Missing",E489="Not reached"),0,"CHECK"))))</x:f>
      </x:c>
      <x:c r="L489" s="2" t="str">
        <x:f>IF(ISNUMBER(K489),IF(AND(K489=1,I489="No"),1,0),K489)</x:f>
      </x:c>
      <x:c r="M489" s="2" t="n">
        <x:f>IF(ISNUMBER(K489),1,0)</x:f>
        <x:v>0</x:v>
      </x:c>
    </x:row>
    <x:row r="490" ht="24" customHeight="1">
      <x:c r="A490" s="2" t="str">
        <x:v>S01.05</x:v>
      </x:c>
      <x:c r="B490" s="2" t="str">
        <x:v>S01</x:v>
      </x:c>
      <x:c r="C490" s="2" t="str">
        <x:v>gpt_connected</x:v>
      </x:c>
      <x:c r="D490" s="2" t="n">
        <x:v>3</x:v>
      </x:c>
      <x:c r="E490" s="8"/>
      <x:c r="F490" s="8"/>
      <x:c r="G490" s="9"/>
      <x:c r="H490" s="9"/>
      <x:c r="I490" s="8"/>
      <x:c r="J490" s="8"/>
      <x:c r="K490" s="2" t="str">
        <x:f>IF(OR(E490="",F490="",G490="",H490="",I490="",J490=""),"",IF(E490="Harness blocked","BLOCKED",IF(AND(E490="Present",F490="Supplied"),1,IF(OR(E490="Missing",E490="Not reached"),0,"CHECK"))))</x:f>
      </x:c>
      <x:c r="L490" s="2" t="str">
        <x:f>IF(ISNUMBER(K490),IF(AND(K490=1,I490="No"),1,0),K490)</x:f>
      </x:c>
      <x:c r="M490" s="2" t="n">
        <x:f>IF(ISNUMBER(K490),1,0)</x:f>
        <x:v>0</x:v>
      </x:c>
    </x:row>
    <x:row r="491" ht="24" customHeight="1">
      <x:c r="A491" s="2" t="str">
        <x:v>S01.06</x:v>
      </x:c>
      <x:c r="B491" s="2" t="str">
        <x:v>S01</x:v>
      </x:c>
      <x:c r="C491" s="2" t="str">
        <x:v>gpt_connected</x:v>
      </x:c>
      <x:c r="D491" s="2" t="n">
        <x:v>3</x:v>
      </x:c>
      <x:c r="E491" s="8"/>
      <x:c r="F491" s="8"/>
      <x:c r="G491" s="9"/>
      <x:c r="H491" s="9"/>
      <x:c r="I491" s="8"/>
      <x:c r="J491" s="8"/>
      <x:c r="K491" s="2" t="str">
        <x:f>IF(OR(E491="",F491="",G491="",H491="",I491="",J491=""),"",IF(E491="Harness blocked","BLOCKED",IF(AND(E491="Present",F491="Supplied"),1,IF(OR(E491="Missing",E491="Not reached"),0,"CHECK"))))</x:f>
      </x:c>
      <x:c r="L491" s="2" t="str">
        <x:f>IF(ISNUMBER(K491),IF(AND(K491=1,I491="No"),1,0),K491)</x:f>
      </x:c>
      <x:c r="M491" s="2" t="n">
        <x:f>IF(ISNUMBER(K491),1,0)</x:f>
        <x:v>0</x:v>
      </x:c>
    </x:row>
    <x:row r="492" ht="24" customHeight="1">
      <x:c r="A492" s="2" t="str">
        <x:v>S01.07</x:v>
      </x:c>
      <x:c r="B492" s="2" t="str">
        <x:v>S01</x:v>
      </x:c>
      <x:c r="C492" s="2" t="str">
        <x:v>gpt_connected</x:v>
      </x:c>
      <x:c r="D492" s="2" t="n">
        <x:v>3</x:v>
      </x:c>
      <x:c r="E492" s="8"/>
      <x:c r="F492" s="8"/>
      <x:c r="G492" s="9"/>
      <x:c r="H492" s="9"/>
      <x:c r="I492" s="8"/>
      <x:c r="J492" s="8"/>
      <x:c r="K492" s="2" t="str">
        <x:f>IF(OR(E492="",F492="",G492="",H492="",I492="",J492=""),"",IF(E492="Harness blocked","BLOCKED",IF(AND(E492="Present",F492="Supplied"),1,IF(OR(E492="Missing",E492="Not reached"),0,"CHECK"))))</x:f>
      </x:c>
      <x:c r="L492" s="2" t="str">
        <x:f>IF(ISNUMBER(K492),IF(AND(K492=1,I492="No"),1,0),K492)</x:f>
      </x:c>
      <x:c r="M492" s="2" t="n">
        <x:f>IF(ISNUMBER(K492),1,0)</x:f>
        <x:v>0</x:v>
      </x:c>
    </x:row>
    <x:row r="493" ht="24" customHeight="1">
      <x:c r="A493" s="2" t="str">
        <x:v>S01.08</x:v>
      </x:c>
      <x:c r="B493" s="2" t="str">
        <x:v>S01</x:v>
      </x:c>
      <x:c r="C493" s="2" t="str">
        <x:v>gpt_connected</x:v>
      </x:c>
      <x:c r="D493" s="2" t="n">
        <x:v>3</x:v>
      </x:c>
      <x:c r="E493" s="8"/>
      <x:c r="F493" s="8"/>
      <x:c r="G493" s="9"/>
      <x:c r="H493" s="9"/>
      <x:c r="I493" s="8"/>
      <x:c r="J493" s="8"/>
      <x:c r="K493" s="2" t="str">
        <x:f>IF(OR(E493="",F493="",G493="",H493="",I493="",J493=""),"",IF(E493="Harness blocked","BLOCKED",IF(AND(E493="Present",F493="Supplied"),1,IF(OR(E493="Missing",E493="Not reached"),0,"CHECK"))))</x:f>
      </x:c>
      <x:c r="L493" s="2" t="str">
        <x:f>IF(ISNUMBER(K493),IF(AND(K493=1,I493="No"),1,0),K493)</x:f>
      </x:c>
      <x:c r="M493" s="2" t="n">
        <x:f>IF(ISNUMBER(K493),1,0)</x:f>
        <x:v>0</x:v>
      </x:c>
    </x:row>
    <x:row r="494" ht="24" customHeight="1">
      <x:c r="A494" s="2" t="str">
        <x:v>S02.01</x:v>
      </x:c>
      <x:c r="B494" s="2" t="str">
        <x:v>S02</x:v>
      </x:c>
      <x:c r="C494" s="2" t="str">
        <x:v>gpt_connected</x:v>
      </x:c>
      <x:c r="D494" s="2" t="n">
        <x:v>3</x:v>
      </x:c>
      <x:c r="E494" s="8"/>
      <x:c r="F494" s="8"/>
      <x:c r="G494" s="9"/>
      <x:c r="H494" s="9"/>
      <x:c r="I494" s="8"/>
      <x:c r="J494" s="8"/>
      <x:c r="K494" s="2" t="str">
        <x:f>IF(OR(E494="",F494="",G494="",H494="",I494="",J494=""),"",IF(E494="Harness blocked","BLOCKED",IF(AND(E494="Present",F494="Supplied"),1,IF(OR(E494="Missing",E494="Not reached"),0,"CHECK"))))</x:f>
      </x:c>
      <x:c r="L494" s="2" t="str">
        <x:f>IF(ISNUMBER(K494),IF(AND(K494=1,I494="No"),1,0),K494)</x:f>
      </x:c>
      <x:c r="M494" s="2" t="n">
        <x:f>IF(ISNUMBER(K494),1,0)</x:f>
        <x:v>0</x:v>
      </x:c>
    </x:row>
    <x:row r="495" ht="24" customHeight="1">
      <x:c r="A495" s="2" t="str">
        <x:v>S02.02</x:v>
      </x:c>
      <x:c r="B495" s="2" t="str">
        <x:v>S02</x:v>
      </x:c>
      <x:c r="C495" s="2" t="str">
        <x:v>gpt_connected</x:v>
      </x:c>
      <x:c r="D495" s="2" t="n">
        <x:v>3</x:v>
      </x:c>
      <x:c r="E495" s="8"/>
      <x:c r="F495" s="8"/>
      <x:c r="G495" s="9"/>
      <x:c r="H495" s="9"/>
      <x:c r="I495" s="8"/>
      <x:c r="J495" s="8"/>
      <x:c r="K495" s="2" t="str">
        <x:f>IF(OR(E495="",F495="",G495="",H495="",I495="",J495=""),"",IF(E495="Harness blocked","BLOCKED",IF(AND(E495="Present",F495="Supplied"),1,IF(OR(E495="Missing",E495="Not reached"),0,"CHECK"))))</x:f>
      </x:c>
      <x:c r="L495" s="2" t="str">
        <x:f>IF(ISNUMBER(K495),IF(AND(K495=1,I495="No"),1,0),K495)</x:f>
      </x:c>
      <x:c r="M495" s="2" t="n">
        <x:f>IF(ISNUMBER(K495),1,0)</x:f>
        <x:v>0</x:v>
      </x:c>
    </x:row>
    <x:row r="496" ht="24" customHeight="1">
      <x:c r="A496" s="2" t="str">
        <x:v>S02.03</x:v>
      </x:c>
      <x:c r="B496" s="2" t="str">
        <x:v>S02</x:v>
      </x:c>
      <x:c r="C496" s="2" t="str">
        <x:v>gpt_connected</x:v>
      </x:c>
      <x:c r="D496" s="2" t="n">
        <x:v>3</x:v>
      </x:c>
      <x:c r="E496" s="8"/>
      <x:c r="F496" s="8"/>
      <x:c r="G496" s="9"/>
      <x:c r="H496" s="9"/>
      <x:c r="I496" s="8"/>
      <x:c r="J496" s="8"/>
      <x:c r="K496" s="2" t="str">
        <x:f>IF(OR(E496="",F496="",G496="",H496="",I496="",J496=""),"",IF(E496="Harness blocked","BLOCKED",IF(AND(E496="Present",F496="Supplied"),1,IF(OR(E496="Missing",E496="Not reached"),0,"CHECK"))))</x:f>
      </x:c>
      <x:c r="L496" s="2" t="str">
        <x:f>IF(ISNUMBER(K496),IF(AND(K496=1,I496="No"),1,0),K496)</x:f>
      </x:c>
      <x:c r="M496" s="2" t="n">
        <x:f>IF(ISNUMBER(K496),1,0)</x:f>
        <x:v>0</x:v>
      </x:c>
    </x:row>
    <x:row r="497" ht="24" customHeight="1">
      <x:c r="A497" s="2" t="str">
        <x:v>S02.04</x:v>
      </x:c>
      <x:c r="B497" s="2" t="str">
        <x:v>S02</x:v>
      </x:c>
      <x:c r="C497" s="2" t="str">
        <x:v>gpt_connected</x:v>
      </x:c>
      <x:c r="D497" s="2" t="n">
        <x:v>3</x:v>
      </x:c>
      <x:c r="E497" s="8"/>
      <x:c r="F497" s="8"/>
      <x:c r="G497" s="9"/>
      <x:c r="H497" s="9"/>
      <x:c r="I497" s="8"/>
      <x:c r="J497" s="8"/>
      <x:c r="K497" s="2" t="str">
        <x:f>IF(OR(E497="",F497="",G497="",H497="",I497="",J497=""),"",IF(E497="Harness blocked","BLOCKED",IF(AND(E497="Present",F497="Supplied"),1,IF(OR(E497="Missing",E497="Not reached"),0,"CHECK"))))</x:f>
      </x:c>
      <x:c r="L497" s="2" t="str">
        <x:f>IF(ISNUMBER(K497),IF(AND(K497=1,I497="No"),1,0),K497)</x:f>
      </x:c>
      <x:c r="M497" s="2" t="n">
        <x:f>IF(ISNUMBER(K497),1,0)</x:f>
        <x:v>0</x:v>
      </x:c>
    </x:row>
    <x:row r="498" ht="24" customHeight="1">
      <x:c r="A498" s="2" t="str">
        <x:v>S02.05</x:v>
      </x:c>
      <x:c r="B498" s="2" t="str">
        <x:v>S02</x:v>
      </x:c>
      <x:c r="C498" s="2" t="str">
        <x:v>gpt_connected</x:v>
      </x:c>
      <x:c r="D498" s="2" t="n">
        <x:v>3</x:v>
      </x:c>
      <x:c r="E498" s="8"/>
      <x:c r="F498" s="8"/>
      <x:c r="G498" s="9"/>
      <x:c r="H498" s="9"/>
      <x:c r="I498" s="8"/>
      <x:c r="J498" s="8"/>
      <x:c r="K498" s="2" t="str">
        <x:f>IF(OR(E498="",F498="",G498="",H498="",I498="",J498=""),"",IF(E498="Harness blocked","BLOCKED",IF(AND(E498="Present",F498="Supplied"),1,IF(OR(E498="Missing",E498="Not reached"),0,"CHECK"))))</x:f>
      </x:c>
      <x:c r="L498" s="2" t="str">
        <x:f>IF(ISNUMBER(K498),IF(AND(K498=1,I498="No"),1,0),K498)</x:f>
      </x:c>
      <x:c r="M498" s="2" t="n">
        <x:f>IF(ISNUMBER(K498),1,0)</x:f>
        <x:v>0</x:v>
      </x:c>
    </x:row>
    <x:row r="499" ht="24" customHeight="1">
      <x:c r="A499" s="2" t="str">
        <x:v>S02.06</x:v>
      </x:c>
      <x:c r="B499" s="2" t="str">
        <x:v>S02</x:v>
      </x:c>
      <x:c r="C499" s="2" t="str">
        <x:v>gpt_connected</x:v>
      </x:c>
      <x:c r="D499" s="2" t="n">
        <x:v>3</x:v>
      </x:c>
      <x:c r="E499" s="8"/>
      <x:c r="F499" s="8"/>
      <x:c r="G499" s="9"/>
      <x:c r="H499" s="9"/>
      <x:c r="I499" s="8"/>
      <x:c r="J499" s="8"/>
      <x:c r="K499" s="2" t="str">
        <x:f>IF(OR(E499="",F499="",G499="",H499="",I499="",J499=""),"",IF(E499="Harness blocked","BLOCKED",IF(AND(E499="Present",F499="Supplied"),1,IF(OR(E499="Missing",E499="Not reached"),0,"CHECK"))))</x:f>
      </x:c>
      <x:c r="L499" s="2" t="str">
        <x:f>IF(ISNUMBER(K499),IF(AND(K499=1,I499="No"),1,0),K499)</x:f>
      </x:c>
      <x:c r="M499" s="2" t="n">
        <x:f>IF(ISNUMBER(K499),1,0)</x:f>
        <x:v>0</x:v>
      </x:c>
    </x:row>
    <x:row r="500" ht="24" customHeight="1">
      <x:c r="A500" s="2" t="str">
        <x:v>S02.07</x:v>
      </x:c>
      <x:c r="B500" s="2" t="str">
        <x:v>S02</x:v>
      </x:c>
      <x:c r="C500" s="2" t="str">
        <x:v>gpt_connected</x:v>
      </x:c>
      <x:c r="D500" s="2" t="n">
        <x:v>3</x:v>
      </x:c>
      <x:c r="E500" s="8"/>
      <x:c r="F500" s="8"/>
      <x:c r="G500" s="9"/>
      <x:c r="H500" s="9"/>
      <x:c r="I500" s="8"/>
      <x:c r="J500" s="8"/>
      <x:c r="K500" s="2" t="str">
        <x:f>IF(OR(E500="",F500="",G500="",H500="",I500="",J500=""),"",IF(E500="Harness blocked","BLOCKED",IF(AND(E500="Present",F500="Supplied"),1,IF(OR(E500="Missing",E500="Not reached"),0,"CHECK"))))</x:f>
      </x:c>
      <x:c r="L500" s="2" t="str">
        <x:f>IF(ISNUMBER(K500),IF(AND(K500=1,I500="No"),1,0),K500)</x:f>
      </x:c>
      <x:c r="M500" s="2" t="n">
        <x:f>IF(ISNUMBER(K500),1,0)</x:f>
        <x:v>0</x:v>
      </x:c>
    </x:row>
    <x:row r="501" ht="24" customHeight="1">
      <x:c r="A501" s="2" t="str">
        <x:v>S02.08</x:v>
      </x:c>
      <x:c r="B501" s="2" t="str">
        <x:v>S02</x:v>
      </x:c>
      <x:c r="C501" s="2" t="str">
        <x:v>gpt_connected</x:v>
      </x:c>
      <x:c r="D501" s="2" t="n">
        <x:v>3</x:v>
      </x:c>
      <x:c r="E501" s="8"/>
      <x:c r="F501" s="8"/>
      <x:c r="G501" s="9"/>
      <x:c r="H501" s="9"/>
      <x:c r="I501" s="8"/>
      <x:c r="J501" s="8"/>
      <x:c r="K501" s="2" t="str">
        <x:f>IF(OR(E501="",F501="",G501="",H501="",I501="",J501=""),"",IF(E501="Harness blocked","BLOCKED",IF(AND(E501="Present",F501="Supplied"),1,IF(OR(E501="Missing",E501="Not reached"),0,"CHECK"))))</x:f>
      </x:c>
      <x:c r="L501" s="2" t="str">
        <x:f>IF(ISNUMBER(K501),IF(AND(K501=1,I501="No"),1,0),K501)</x:f>
      </x:c>
      <x:c r="M501" s="2" t="n">
        <x:f>IF(ISNUMBER(K501),1,0)</x:f>
        <x:v>0</x:v>
      </x:c>
    </x:row>
    <x:row r="502" ht="24" customHeight="1">
      <x:c r="A502" s="2" t="str">
        <x:v>S03.01</x:v>
      </x:c>
      <x:c r="B502" s="2" t="str">
        <x:v>S03</x:v>
      </x:c>
      <x:c r="C502" s="2" t="str">
        <x:v>gpt_connected</x:v>
      </x:c>
      <x:c r="D502" s="2" t="n">
        <x:v>3</x:v>
      </x:c>
      <x:c r="E502" s="8"/>
      <x:c r="F502" s="8"/>
      <x:c r="G502" s="9"/>
      <x:c r="H502" s="9"/>
      <x:c r="I502" s="8"/>
      <x:c r="J502" s="8"/>
      <x:c r="K502" s="2" t="str">
        <x:f>IF(OR(E502="",F502="",G502="",H502="",I502="",J502=""),"",IF(E502="Harness blocked","BLOCKED",IF(AND(E502="Present",F502="Supplied"),1,IF(OR(E502="Missing",E502="Not reached"),0,"CHECK"))))</x:f>
      </x:c>
      <x:c r="L502" s="2" t="str">
        <x:f>IF(ISNUMBER(K502),IF(AND(K502=1,I502="No"),1,0),K502)</x:f>
      </x:c>
      <x:c r="M502" s="2" t="n">
        <x:f>IF(ISNUMBER(K502),1,0)</x:f>
        <x:v>0</x:v>
      </x:c>
    </x:row>
    <x:row r="503" ht="24" customHeight="1">
      <x:c r="A503" s="2" t="str">
        <x:v>S03.02</x:v>
      </x:c>
      <x:c r="B503" s="2" t="str">
        <x:v>S03</x:v>
      </x:c>
      <x:c r="C503" s="2" t="str">
        <x:v>gpt_connected</x:v>
      </x:c>
      <x:c r="D503" s="2" t="n">
        <x:v>3</x:v>
      </x:c>
      <x:c r="E503" s="8"/>
      <x:c r="F503" s="8"/>
      <x:c r="G503" s="9"/>
      <x:c r="H503" s="9"/>
      <x:c r="I503" s="8"/>
      <x:c r="J503" s="8"/>
      <x:c r="K503" s="2" t="str">
        <x:f>IF(OR(E503="",F503="",G503="",H503="",I503="",J503=""),"",IF(E503="Harness blocked","BLOCKED",IF(AND(E503="Present",F503="Supplied"),1,IF(OR(E503="Missing",E503="Not reached"),0,"CHECK"))))</x:f>
      </x:c>
      <x:c r="L503" s="2" t="str">
        <x:f>IF(ISNUMBER(K503),IF(AND(K503=1,I503="No"),1,0),K503)</x:f>
      </x:c>
      <x:c r="M503" s="2" t="n">
        <x:f>IF(ISNUMBER(K503),1,0)</x:f>
        <x:v>0</x:v>
      </x:c>
    </x:row>
    <x:row r="504" ht="24" customHeight="1">
      <x:c r="A504" s="2" t="str">
        <x:v>S03.03</x:v>
      </x:c>
      <x:c r="B504" s="2" t="str">
        <x:v>S03</x:v>
      </x:c>
      <x:c r="C504" s="2" t="str">
        <x:v>gpt_connected</x:v>
      </x:c>
      <x:c r="D504" s="2" t="n">
        <x:v>3</x:v>
      </x:c>
      <x:c r="E504" s="8"/>
      <x:c r="F504" s="8"/>
      <x:c r="G504" s="9"/>
      <x:c r="H504" s="9"/>
      <x:c r="I504" s="8"/>
      <x:c r="J504" s="8"/>
      <x:c r="K504" s="2" t="str">
        <x:f>IF(OR(E504="",F504="",G504="",H504="",I504="",J504=""),"",IF(E504="Harness blocked","BLOCKED",IF(AND(E504="Present",F504="Supplied"),1,IF(OR(E504="Missing",E504="Not reached"),0,"CHECK"))))</x:f>
      </x:c>
      <x:c r="L504" s="2" t="str">
        <x:f>IF(ISNUMBER(K504),IF(AND(K504=1,I504="No"),1,0),K504)</x:f>
      </x:c>
      <x:c r="M504" s="2" t="n">
        <x:f>IF(ISNUMBER(K504),1,0)</x:f>
        <x:v>0</x:v>
      </x:c>
    </x:row>
    <x:row r="505" ht="24" customHeight="1">
      <x:c r="A505" s="2" t="str">
        <x:v>S03.04</x:v>
      </x:c>
      <x:c r="B505" s="2" t="str">
        <x:v>S03</x:v>
      </x:c>
      <x:c r="C505" s="2" t="str">
        <x:v>gpt_connected</x:v>
      </x:c>
      <x:c r="D505" s="2" t="n">
        <x:v>3</x:v>
      </x:c>
      <x:c r="E505" s="8"/>
      <x:c r="F505" s="8"/>
      <x:c r="G505" s="9"/>
      <x:c r="H505" s="9"/>
      <x:c r="I505" s="8"/>
      <x:c r="J505" s="8"/>
      <x:c r="K505" s="2" t="str">
        <x:f>IF(OR(E505="",F505="",G505="",H505="",I505="",J505=""),"",IF(E505="Harness blocked","BLOCKED",IF(AND(E505="Present",F505="Supplied"),1,IF(OR(E505="Missing",E505="Not reached"),0,"CHECK"))))</x:f>
      </x:c>
      <x:c r="L505" s="2" t="str">
        <x:f>IF(ISNUMBER(K505),IF(AND(K505=1,I505="No"),1,0),K505)</x:f>
      </x:c>
      <x:c r="M505" s="2" t="n">
        <x:f>IF(ISNUMBER(K505),1,0)</x:f>
        <x:v>0</x:v>
      </x:c>
    </x:row>
    <x:row r="506" ht="24" customHeight="1">
      <x:c r="A506" s="2" t="str">
        <x:v>S03.05</x:v>
      </x:c>
      <x:c r="B506" s="2" t="str">
        <x:v>S03</x:v>
      </x:c>
      <x:c r="C506" s="2" t="str">
        <x:v>gpt_connected</x:v>
      </x:c>
      <x:c r="D506" s="2" t="n">
        <x:v>3</x:v>
      </x:c>
      <x:c r="E506" s="8"/>
      <x:c r="F506" s="8"/>
      <x:c r="G506" s="9"/>
      <x:c r="H506" s="9"/>
      <x:c r="I506" s="8"/>
      <x:c r="J506" s="8"/>
      <x:c r="K506" s="2" t="str">
        <x:f>IF(OR(E506="",F506="",G506="",H506="",I506="",J506=""),"",IF(E506="Harness blocked","BLOCKED",IF(AND(E506="Present",F506="Supplied"),1,IF(OR(E506="Missing",E506="Not reached"),0,"CHECK"))))</x:f>
      </x:c>
      <x:c r="L506" s="2" t="str">
        <x:f>IF(ISNUMBER(K506),IF(AND(K506=1,I506="No"),1,0),K506)</x:f>
      </x:c>
      <x:c r="M506" s="2" t="n">
        <x:f>IF(ISNUMBER(K506),1,0)</x:f>
        <x:v>0</x:v>
      </x:c>
    </x:row>
    <x:row r="507" ht="24" customHeight="1">
      <x:c r="A507" s="2" t="str">
        <x:v>S03.06</x:v>
      </x:c>
      <x:c r="B507" s="2" t="str">
        <x:v>S03</x:v>
      </x:c>
      <x:c r="C507" s="2" t="str">
        <x:v>gpt_connected</x:v>
      </x:c>
      <x:c r="D507" s="2" t="n">
        <x:v>3</x:v>
      </x:c>
      <x:c r="E507" s="8"/>
      <x:c r="F507" s="8"/>
      <x:c r="G507" s="9"/>
      <x:c r="H507" s="9"/>
      <x:c r="I507" s="8"/>
      <x:c r="J507" s="8"/>
      <x:c r="K507" s="2" t="str">
        <x:f>IF(OR(E507="",F507="",G507="",H507="",I507="",J507=""),"",IF(E507="Harness blocked","BLOCKED",IF(AND(E507="Present",F507="Supplied"),1,IF(OR(E507="Missing",E507="Not reached"),0,"CHECK"))))</x:f>
      </x:c>
      <x:c r="L507" s="2" t="str">
        <x:f>IF(ISNUMBER(K507),IF(AND(K507=1,I507="No"),1,0),K507)</x:f>
      </x:c>
      <x:c r="M507" s="2" t="n">
        <x:f>IF(ISNUMBER(K507),1,0)</x:f>
        <x:v>0</x:v>
      </x:c>
    </x:row>
    <x:row r="508" ht="24" customHeight="1">
      <x:c r="A508" s="2" t="str">
        <x:v>S03.07</x:v>
      </x:c>
      <x:c r="B508" s="2" t="str">
        <x:v>S03</x:v>
      </x:c>
      <x:c r="C508" s="2" t="str">
        <x:v>gpt_connected</x:v>
      </x:c>
      <x:c r="D508" s="2" t="n">
        <x:v>3</x:v>
      </x:c>
      <x:c r="E508" s="8"/>
      <x:c r="F508" s="8"/>
      <x:c r="G508" s="9"/>
      <x:c r="H508" s="9"/>
      <x:c r="I508" s="8"/>
      <x:c r="J508" s="8"/>
      <x:c r="K508" s="2" t="str">
        <x:f>IF(OR(E508="",F508="",G508="",H508="",I508="",J508=""),"",IF(E508="Harness blocked","BLOCKED",IF(AND(E508="Present",F508="Supplied"),1,IF(OR(E508="Missing",E508="Not reached"),0,"CHECK"))))</x:f>
      </x:c>
      <x:c r="L508" s="2" t="str">
        <x:f>IF(ISNUMBER(K508),IF(AND(K508=1,I508="No"),1,0),K508)</x:f>
      </x:c>
      <x:c r="M508" s="2" t="n">
        <x:f>IF(ISNUMBER(K508),1,0)</x:f>
        <x:v>0</x:v>
      </x:c>
    </x:row>
    <x:row r="509" ht="24" customHeight="1">
      <x:c r="A509" s="2" t="str">
        <x:v>S03.08</x:v>
      </x:c>
      <x:c r="B509" s="2" t="str">
        <x:v>S03</x:v>
      </x:c>
      <x:c r="C509" s="2" t="str">
        <x:v>gpt_connected</x:v>
      </x:c>
      <x:c r="D509" s="2" t="n">
        <x:v>3</x:v>
      </x:c>
      <x:c r="E509" s="8"/>
      <x:c r="F509" s="8"/>
      <x:c r="G509" s="9"/>
      <x:c r="H509" s="9"/>
      <x:c r="I509" s="8"/>
      <x:c r="J509" s="8"/>
      <x:c r="K509" s="2" t="str">
        <x:f>IF(OR(E509="",F509="",G509="",H509="",I509="",J509=""),"",IF(E509="Harness blocked","BLOCKED",IF(AND(E509="Present",F509="Supplied"),1,IF(OR(E509="Missing",E509="Not reached"),0,"CHECK"))))</x:f>
      </x:c>
      <x:c r="L509" s="2" t="str">
        <x:f>IF(ISNUMBER(K509),IF(AND(K509=1,I509="No"),1,0),K509)</x:f>
      </x:c>
      <x:c r="M509" s="2" t="n">
        <x:f>IF(ISNUMBER(K509),1,0)</x:f>
        <x:v>0</x:v>
      </x:c>
    </x:row>
    <x:row r="510" ht="24" customHeight="1">
      <x:c r="A510" s="2" t="str">
        <x:v>S04.01</x:v>
      </x:c>
      <x:c r="B510" s="2" t="str">
        <x:v>S04</x:v>
      </x:c>
      <x:c r="C510" s="2" t="str">
        <x:v>gpt_connected</x:v>
      </x:c>
      <x:c r="D510" s="2" t="n">
        <x:v>3</x:v>
      </x:c>
      <x:c r="E510" s="8"/>
      <x:c r="F510" s="8"/>
      <x:c r="G510" s="9"/>
      <x:c r="H510" s="9"/>
      <x:c r="I510" s="8"/>
      <x:c r="J510" s="8"/>
      <x:c r="K510" s="2" t="str">
        <x:f>IF(OR(E510="",F510="",G510="",H510="",I510="",J510=""),"",IF(E510="Harness blocked","BLOCKED",IF(AND(E510="Present",F510="Supplied"),1,IF(OR(E510="Missing",E510="Not reached"),0,"CHECK"))))</x:f>
      </x:c>
      <x:c r="L510" s="2" t="str">
        <x:f>IF(ISNUMBER(K510),IF(AND(K510=1,I510="No"),1,0),K510)</x:f>
      </x:c>
      <x:c r="M510" s="2" t="n">
        <x:f>IF(ISNUMBER(K510),1,0)</x:f>
        <x:v>0</x:v>
      </x:c>
    </x:row>
    <x:row r="511" ht="24" customHeight="1">
      <x:c r="A511" s="2" t="str">
        <x:v>S04.02</x:v>
      </x:c>
      <x:c r="B511" s="2" t="str">
        <x:v>S04</x:v>
      </x:c>
      <x:c r="C511" s="2" t="str">
        <x:v>gpt_connected</x:v>
      </x:c>
      <x:c r="D511" s="2" t="n">
        <x:v>3</x:v>
      </x:c>
      <x:c r="E511" s="8"/>
      <x:c r="F511" s="8"/>
      <x:c r="G511" s="9"/>
      <x:c r="H511" s="9"/>
      <x:c r="I511" s="8"/>
      <x:c r="J511" s="8"/>
      <x:c r="K511" s="2" t="str">
        <x:f>IF(OR(E511="",F511="",G511="",H511="",I511="",J511=""),"",IF(E511="Harness blocked","BLOCKED",IF(AND(E511="Present",F511="Supplied"),1,IF(OR(E511="Missing",E511="Not reached"),0,"CHECK"))))</x:f>
      </x:c>
      <x:c r="L511" s="2" t="str">
        <x:f>IF(ISNUMBER(K511),IF(AND(K511=1,I511="No"),1,0),K511)</x:f>
      </x:c>
      <x:c r="M511" s="2" t="n">
        <x:f>IF(ISNUMBER(K511),1,0)</x:f>
        <x:v>0</x:v>
      </x:c>
    </x:row>
    <x:row r="512" ht="24" customHeight="1">
      <x:c r="A512" s="2" t="str">
        <x:v>S04.03</x:v>
      </x:c>
      <x:c r="B512" s="2" t="str">
        <x:v>S04</x:v>
      </x:c>
      <x:c r="C512" s="2" t="str">
        <x:v>gpt_connected</x:v>
      </x:c>
      <x:c r="D512" s="2" t="n">
        <x:v>3</x:v>
      </x:c>
      <x:c r="E512" s="8"/>
      <x:c r="F512" s="8"/>
      <x:c r="G512" s="9"/>
      <x:c r="H512" s="9"/>
      <x:c r="I512" s="8"/>
      <x:c r="J512" s="8"/>
      <x:c r="K512" s="2" t="str">
        <x:f>IF(OR(E512="",F512="",G512="",H512="",I512="",J512=""),"",IF(E512="Harness blocked","BLOCKED",IF(AND(E512="Present",F512="Supplied"),1,IF(OR(E512="Missing",E512="Not reached"),0,"CHECK"))))</x:f>
      </x:c>
      <x:c r="L512" s="2" t="str">
        <x:f>IF(ISNUMBER(K512),IF(AND(K512=1,I512="No"),1,0),K512)</x:f>
      </x:c>
      <x:c r="M512" s="2" t="n">
        <x:f>IF(ISNUMBER(K512),1,0)</x:f>
        <x:v>0</x:v>
      </x:c>
    </x:row>
    <x:row r="513" ht="24" customHeight="1">
      <x:c r="A513" s="2" t="str">
        <x:v>S04.04</x:v>
      </x:c>
      <x:c r="B513" s="2" t="str">
        <x:v>S04</x:v>
      </x:c>
      <x:c r="C513" s="2" t="str">
        <x:v>gpt_connected</x:v>
      </x:c>
      <x:c r="D513" s="2" t="n">
        <x:v>3</x:v>
      </x:c>
      <x:c r="E513" s="8"/>
      <x:c r="F513" s="8"/>
      <x:c r="G513" s="9"/>
      <x:c r="H513" s="9"/>
      <x:c r="I513" s="8"/>
      <x:c r="J513" s="8"/>
      <x:c r="K513" s="2" t="str">
        <x:f>IF(OR(E513="",F513="",G513="",H513="",I513="",J513=""),"",IF(E513="Harness blocked","BLOCKED",IF(AND(E513="Present",F513="Supplied"),1,IF(OR(E513="Missing",E513="Not reached"),0,"CHECK"))))</x:f>
      </x:c>
      <x:c r="L513" s="2" t="str">
        <x:f>IF(ISNUMBER(K513),IF(AND(K513=1,I513="No"),1,0),K513)</x:f>
      </x:c>
      <x:c r="M513" s="2" t="n">
        <x:f>IF(ISNUMBER(K513),1,0)</x:f>
        <x:v>0</x:v>
      </x:c>
    </x:row>
    <x:row r="514" ht="24" customHeight="1">
      <x:c r="A514" s="2" t="str">
        <x:v>S04.05</x:v>
      </x:c>
      <x:c r="B514" s="2" t="str">
        <x:v>S04</x:v>
      </x:c>
      <x:c r="C514" s="2" t="str">
        <x:v>gpt_connected</x:v>
      </x:c>
      <x:c r="D514" s="2" t="n">
        <x:v>3</x:v>
      </x:c>
      <x:c r="E514" s="8"/>
      <x:c r="F514" s="8"/>
      <x:c r="G514" s="9"/>
      <x:c r="H514" s="9"/>
      <x:c r="I514" s="8"/>
      <x:c r="J514" s="8"/>
      <x:c r="K514" s="2" t="str">
        <x:f>IF(OR(E514="",F514="",G514="",H514="",I514="",J514=""),"",IF(E514="Harness blocked","BLOCKED",IF(AND(E514="Present",F514="Supplied"),1,IF(OR(E514="Missing",E514="Not reached"),0,"CHECK"))))</x:f>
      </x:c>
      <x:c r="L514" s="2" t="str">
        <x:f>IF(ISNUMBER(K514),IF(AND(K514=1,I514="No"),1,0),K514)</x:f>
      </x:c>
      <x:c r="M514" s="2" t="n">
        <x:f>IF(ISNUMBER(K514),1,0)</x:f>
        <x:v>0</x:v>
      </x:c>
    </x:row>
    <x:row r="515" ht="24" customHeight="1">
      <x:c r="A515" s="2" t="str">
        <x:v>S04.06</x:v>
      </x:c>
      <x:c r="B515" s="2" t="str">
        <x:v>S04</x:v>
      </x:c>
      <x:c r="C515" s="2" t="str">
        <x:v>gpt_connected</x:v>
      </x:c>
      <x:c r="D515" s="2" t="n">
        <x:v>3</x:v>
      </x:c>
      <x:c r="E515" s="8"/>
      <x:c r="F515" s="8"/>
      <x:c r="G515" s="9"/>
      <x:c r="H515" s="9"/>
      <x:c r="I515" s="8"/>
      <x:c r="J515" s="8"/>
      <x:c r="K515" s="2" t="str">
        <x:f>IF(OR(E515="",F515="",G515="",H515="",I515="",J515=""),"",IF(E515="Harness blocked","BLOCKED",IF(AND(E515="Present",F515="Supplied"),1,IF(OR(E515="Missing",E515="Not reached"),0,"CHECK"))))</x:f>
      </x:c>
      <x:c r="L515" s="2" t="str">
        <x:f>IF(ISNUMBER(K515),IF(AND(K515=1,I515="No"),1,0),K515)</x:f>
      </x:c>
      <x:c r="M515" s="2" t="n">
        <x:f>IF(ISNUMBER(K515),1,0)</x:f>
        <x:v>0</x:v>
      </x:c>
    </x:row>
    <x:row r="516" ht="24" customHeight="1">
      <x:c r="A516" s="2" t="str">
        <x:v>S04.07</x:v>
      </x:c>
      <x:c r="B516" s="2" t="str">
        <x:v>S04</x:v>
      </x:c>
      <x:c r="C516" s="2" t="str">
        <x:v>gpt_connected</x:v>
      </x:c>
      <x:c r="D516" s="2" t="n">
        <x:v>3</x:v>
      </x:c>
      <x:c r="E516" s="8"/>
      <x:c r="F516" s="8"/>
      <x:c r="G516" s="9"/>
      <x:c r="H516" s="9"/>
      <x:c r="I516" s="8"/>
      <x:c r="J516" s="8"/>
      <x:c r="K516" s="2" t="str">
        <x:f>IF(OR(E516="",F516="",G516="",H516="",I516="",J516=""),"",IF(E516="Harness blocked","BLOCKED",IF(AND(E516="Present",F516="Supplied"),1,IF(OR(E516="Missing",E516="Not reached"),0,"CHECK"))))</x:f>
      </x:c>
      <x:c r="L516" s="2" t="str">
        <x:f>IF(ISNUMBER(K516),IF(AND(K516=1,I516="No"),1,0),K516)</x:f>
      </x:c>
      <x:c r="M516" s="2" t="n">
        <x:f>IF(ISNUMBER(K516),1,0)</x:f>
        <x:v>0</x:v>
      </x:c>
    </x:row>
    <x:row r="517" ht="24" customHeight="1">
      <x:c r="A517" s="2" t="str">
        <x:v>S04.08</x:v>
      </x:c>
      <x:c r="B517" s="2" t="str">
        <x:v>S04</x:v>
      </x:c>
      <x:c r="C517" s="2" t="str">
        <x:v>gpt_connected</x:v>
      </x:c>
      <x:c r="D517" s="2" t="n">
        <x:v>3</x:v>
      </x:c>
      <x:c r="E517" s="8"/>
      <x:c r="F517" s="8"/>
      <x:c r="G517" s="9"/>
      <x:c r="H517" s="9"/>
      <x:c r="I517" s="8"/>
      <x:c r="J517" s="8"/>
      <x:c r="K517" s="2" t="str">
        <x:f>IF(OR(E517="",F517="",G517="",H517="",I517="",J517=""),"",IF(E517="Harness blocked","BLOCKED",IF(AND(E517="Present",F517="Supplied"),1,IF(OR(E517="Missing",E517="Not reached"),0,"CHECK"))))</x:f>
      </x:c>
      <x:c r="L517" s="2" t="str">
        <x:f>IF(ISNUMBER(K517),IF(AND(K517=1,I517="No"),1,0),K517)</x:f>
      </x:c>
      <x:c r="M517" s="2" t="n">
        <x:f>IF(ISNUMBER(K517),1,0)</x:f>
        <x:v>0</x:v>
      </x:c>
    </x:row>
    <x:row r="518" ht="24" customHeight="1">
      <x:c r="A518" s="2" t="str">
        <x:v>S05.01</x:v>
      </x:c>
      <x:c r="B518" s="2" t="str">
        <x:v>S05</x:v>
      </x:c>
      <x:c r="C518" s="2" t="str">
        <x:v>gpt_connected</x:v>
      </x:c>
      <x:c r="D518" s="2" t="n">
        <x:v>3</x:v>
      </x:c>
      <x:c r="E518" s="8"/>
      <x:c r="F518" s="8"/>
      <x:c r="G518" s="9"/>
      <x:c r="H518" s="9"/>
      <x:c r="I518" s="8"/>
      <x:c r="J518" s="8"/>
      <x:c r="K518" s="2" t="str">
        <x:f>IF(OR(E518="",F518="",G518="",H518="",I518="",J518=""),"",IF(E518="Harness blocked","BLOCKED",IF(AND(E518="Present",F518="Supplied"),1,IF(OR(E518="Missing",E518="Not reached"),0,"CHECK"))))</x:f>
      </x:c>
      <x:c r="L518" s="2" t="str">
        <x:f>IF(ISNUMBER(K518),IF(AND(K518=1,I518="No"),1,0),K518)</x:f>
      </x:c>
      <x:c r="M518" s="2" t="n">
        <x:f>IF(ISNUMBER(K518),1,0)</x:f>
        <x:v>0</x:v>
      </x:c>
    </x:row>
    <x:row r="519" ht="24" customHeight="1">
      <x:c r="A519" s="2" t="str">
        <x:v>S05.02</x:v>
      </x:c>
      <x:c r="B519" s="2" t="str">
        <x:v>S05</x:v>
      </x:c>
      <x:c r="C519" s="2" t="str">
        <x:v>gpt_connected</x:v>
      </x:c>
      <x:c r="D519" s="2" t="n">
        <x:v>3</x:v>
      </x:c>
      <x:c r="E519" s="8"/>
      <x:c r="F519" s="8"/>
      <x:c r="G519" s="9"/>
      <x:c r="H519" s="9"/>
      <x:c r="I519" s="8"/>
      <x:c r="J519" s="8"/>
      <x:c r="K519" s="2" t="str">
        <x:f>IF(OR(E519="",F519="",G519="",H519="",I519="",J519=""),"",IF(E519="Harness blocked","BLOCKED",IF(AND(E519="Present",F519="Supplied"),1,IF(OR(E519="Missing",E519="Not reached"),0,"CHECK"))))</x:f>
      </x:c>
      <x:c r="L519" s="2" t="str">
        <x:f>IF(ISNUMBER(K519),IF(AND(K519=1,I519="No"),1,0),K519)</x:f>
      </x:c>
      <x:c r="M519" s="2" t="n">
        <x:f>IF(ISNUMBER(K519),1,0)</x:f>
        <x:v>0</x:v>
      </x:c>
    </x:row>
    <x:row r="520" ht="24" customHeight="1">
      <x:c r="A520" s="2" t="str">
        <x:v>S05.03</x:v>
      </x:c>
      <x:c r="B520" s="2" t="str">
        <x:v>S05</x:v>
      </x:c>
      <x:c r="C520" s="2" t="str">
        <x:v>gpt_connected</x:v>
      </x:c>
      <x:c r="D520" s="2" t="n">
        <x:v>3</x:v>
      </x:c>
      <x:c r="E520" s="8"/>
      <x:c r="F520" s="8"/>
      <x:c r="G520" s="9"/>
      <x:c r="H520" s="9"/>
      <x:c r="I520" s="8"/>
      <x:c r="J520" s="8"/>
      <x:c r="K520" s="2" t="str">
        <x:f>IF(OR(E520="",F520="",G520="",H520="",I520="",J520=""),"",IF(E520="Harness blocked","BLOCKED",IF(AND(E520="Present",F520="Supplied"),1,IF(OR(E520="Missing",E520="Not reached"),0,"CHECK"))))</x:f>
      </x:c>
      <x:c r="L520" s="2" t="str">
        <x:f>IF(ISNUMBER(K520),IF(AND(K520=1,I520="No"),1,0),K520)</x:f>
      </x:c>
      <x:c r="M520" s="2" t="n">
        <x:f>IF(ISNUMBER(K520),1,0)</x:f>
        <x:v>0</x:v>
      </x:c>
    </x:row>
    <x:row r="521" ht="24" customHeight="1">
      <x:c r="A521" s="2" t="str">
        <x:v>S05.04</x:v>
      </x:c>
      <x:c r="B521" s="2" t="str">
        <x:v>S05</x:v>
      </x:c>
      <x:c r="C521" s="2" t="str">
        <x:v>gpt_connected</x:v>
      </x:c>
      <x:c r="D521" s="2" t="n">
        <x:v>3</x:v>
      </x:c>
      <x:c r="E521" s="8"/>
      <x:c r="F521" s="8"/>
      <x:c r="G521" s="9"/>
      <x:c r="H521" s="9"/>
      <x:c r="I521" s="8"/>
      <x:c r="J521" s="8"/>
      <x:c r="K521" s="2" t="str">
        <x:f>IF(OR(E521="",F521="",G521="",H521="",I521="",J521=""),"",IF(E521="Harness blocked","BLOCKED",IF(AND(E521="Present",F521="Supplied"),1,IF(OR(E521="Missing",E521="Not reached"),0,"CHECK"))))</x:f>
      </x:c>
      <x:c r="L521" s="2" t="str">
        <x:f>IF(ISNUMBER(K521),IF(AND(K521=1,I521="No"),1,0),K521)</x:f>
      </x:c>
      <x:c r="M521" s="2" t="n">
        <x:f>IF(ISNUMBER(K521),1,0)</x:f>
        <x:v>0</x:v>
      </x:c>
    </x:row>
    <x:row r="522" ht="24" customHeight="1">
      <x:c r="A522" s="2" t="str">
        <x:v>S05.05</x:v>
      </x:c>
      <x:c r="B522" s="2" t="str">
        <x:v>S05</x:v>
      </x:c>
      <x:c r="C522" s="2" t="str">
        <x:v>gpt_connected</x:v>
      </x:c>
      <x:c r="D522" s="2" t="n">
        <x:v>3</x:v>
      </x:c>
      <x:c r="E522" s="8"/>
      <x:c r="F522" s="8"/>
      <x:c r="G522" s="9"/>
      <x:c r="H522" s="9"/>
      <x:c r="I522" s="8"/>
      <x:c r="J522" s="8"/>
      <x:c r="K522" s="2" t="str">
        <x:f>IF(OR(E522="",F522="",G522="",H522="",I522="",J522=""),"",IF(E522="Harness blocked","BLOCKED",IF(AND(E522="Present",F522="Supplied"),1,IF(OR(E522="Missing",E522="Not reached"),0,"CHECK"))))</x:f>
      </x:c>
      <x:c r="L522" s="2" t="str">
        <x:f>IF(ISNUMBER(K522),IF(AND(K522=1,I522="No"),1,0),K522)</x:f>
      </x:c>
      <x:c r="M522" s="2" t="n">
        <x:f>IF(ISNUMBER(K522),1,0)</x:f>
        <x:v>0</x:v>
      </x:c>
    </x:row>
    <x:row r="523" ht="24" customHeight="1">
      <x:c r="A523" s="2" t="str">
        <x:v>S05.06</x:v>
      </x:c>
      <x:c r="B523" s="2" t="str">
        <x:v>S05</x:v>
      </x:c>
      <x:c r="C523" s="2" t="str">
        <x:v>gpt_connected</x:v>
      </x:c>
      <x:c r="D523" s="2" t="n">
        <x:v>3</x:v>
      </x:c>
      <x:c r="E523" s="8"/>
      <x:c r="F523" s="8"/>
      <x:c r="G523" s="9"/>
      <x:c r="H523" s="9"/>
      <x:c r="I523" s="8"/>
      <x:c r="J523" s="8"/>
      <x:c r="K523" s="2" t="str">
        <x:f>IF(OR(E523="",F523="",G523="",H523="",I523="",J523=""),"",IF(E523="Harness blocked","BLOCKED",IF(AND(E523="Present",F523="Supplied"),1,IF(OR(E523="Missing",E523="Not reached"),0,"CHECK"))))</x:f>
      </x:c>
      <x:c r="L523" s="2" t="str">
        <x:f>IF(ISNUMBER(K523),IF(AND(K523=1,I523="No"),1,0),K523)</x:f>
      </x:c>
      <x:c r="M523" s="2" t="n">
        <x:f>IF(ISNUMBER(K523),1,0)</x:f>
        <x:v>0</x:v>
      </x:c>
    </x:row>
    <x:row r="524" ht="24" customHeight="1">
      <x:c r="A524" s="2" t="str">
        <x:v>S05.07</x:v>
      </x:c>
      <x:c r="B524" s="2" t="str">
        <x:v>S05</x:v>
      </x:c>
      <x:c r="C524" s="2" t="str">
        <x:v>gpt_connected</x:v>
      </x:c>
      <x:c r="D524" s="2" t="n">
        <x:v>3</x:v>
      </x:c>
      <x:c r="E524" s="8"/>
      <x:c r="F524" s="8"/>
      <x:c r="G524" s="9"/>
      <x:c r="H524" s="9"/>
      <x:c r="I524" s="8"/>
      <x:c r="J524" s="8"/>
      <x:c r="K524" s="2" t="str">
        <x:f>IF(OR(E524="",F524="",G524="",H524="",I524="",J524=""),"",IF(E524="Harness blocked","BLOCKED",IF(AND(E524="Present",F524="Supplied"),1,IF(OR(E524="Missing",E524="Not reached"),0,"CHECK"))))</x:f>
      </x:c>
      <x:c r="L524" s="2" t="str">
        <x:f>IF(ISNUMBER(K524),IF(AND(K524=1,I524="No"),1,0),K524)</x:f>
      </x:c>
      <x:c r="M524" s="2" t="n">
        <x:f>IF(ISNUMBER(K524),1,0)</x:f>
        <x:v>0</x:v>
      </x:c>
    </x:row>
    <x:row r="525" ht="24" customHeight="1">
      <x:c r="A525" s="2" t="str">
        <x:v>S05.08</x:v>
      </x:c>
      <x:c r="B525" s="2" t="str">
        <x:v>S05</x:v>
      </x:c>
      <x:c r="C525" s="2" t="str">
        <x:v>gpt_connected</x:v>
      </x:c>
      <x:c r="D525" s="2" t="n">
        <x:v>3</x:v>
      </x:c>
      <x:c r="E525" s="8"/>
      <x:c r="F525" s="8"/>
      <x:c r="G525" s="9"/>
      <x:c r="H525" s="9"/>
      <x:c r="I525" s="8"/>
      <x:c r="J525" s="8"/>
      <x:c r="K525" s="2" t="str">
        <x:f>IF(OR(E525="",F525="",G525="",H525="",I525="",J525=""),"",IF(E525="Harness blocked","BLOCKED",IF(AND(E525="Present",F525="Supplied"),1,IF(OR(E525="Missing",E525="Not reached"),0,"CHECK"))))</x:f>
      </x:c>
      <x:c r="L525" s="2" t="str">
        <x:f>IF(ISNUMBER(K525),IF(AND(K525=1,I525="No"),1,0),K525)</x:f>
      </x:c>
      <x:c r="M525" s="2" t="n">
        <x:f>IF(ISNUMBER(K525),1,0)</x:f>
        <x:v>0</x:v>
      </x:c>
    </x:row>
    <x:row r="526" ht="24" customHeight="1">
      <x:c r="A526" s="2" t="str">
        <x:v>S06.01</x:v>
      </x:c>
      <x:c r="B526" s="2" t="str">
        <x:v>S06</x:v>
      </x:c>
      <x:c r="C526" s="2" t="str">
        <x:v>gpt_connected</x:v>
      </x:c>
      <x:c r="D526" s="2" t="n">
        <x:v>3</x:v>
      </x:c>
      <x:c r="E526" s="8"/>
      <x:c r="F526" s="8"/>
      <x:c r="G526" s="9"/>
      <x:c r="H526" s="9"/>
      <x:c r="I526" s="8"/>
      <x:c r="J526" s="8"/>
      <x:c r="K526" s="2" t="str">
        <x:f>IF(OR(E526="",F526="",G526="",H526="",I526="",J526=""),"",IF(E526="Harness blocked","BLOCKED",IF(AND(E526="Present",F526="Supplied"),1,IF(OR(E526="Missing",E526="Not reached"),0,"CHECK"))))</x:f>
      </x:c>
      <x:c r="L526" s="2" t="str">
        <x:f>IF(ISNUMBER(K526),IF(AND(K526=1,I526="No"),1,0),K526)</x:f>
      </x:c>
      <x:c r="M526" s="2" t="n">
        <x:f>IF(ISNUMBER(K526),1,0)</x:f>
        <x:v>0</x:v>
      </x:c>
    </x:row>
    <x:row r="527" ht="24" customHeight="1">
      <x:c r="A527" s="2" t="str">
        <x:v>S06.02</x:v>
      </x:c>
      <x:c r="B527" s="2" t="str">
        <x:v>S06</x:v>
      </x:c>
      <x:c r="C527" s="2" t="str">
        <x:v>gpt_connected</x:v>
      </x:c>
      <x:c r="D527" s="2" t="n">
        <x:v>3</x:v>
      </x:c>
      <x:c r="E527" s="8"/>
      <x:c r="F527" s="8"/>
      <x:c r="G527" s="9"/>
      <x:c r="H527" s="9"/>
      <x:c r="I527" s="8"/>
      <x:c r="J527" s="8"/>
      <x:c r="K527" s="2" t="str">
        <x:f>IF(OR(E527="",F527="",G527="",H527="",I527="",J527=""),"",IF(E527="Harness blocked","BLOCKED",IF(AND(E527="Present",F527="Supplied"),1,IF(OR(E527="Missing",E527="Not reached"),0,"CHECK"))))</x:f>
      </x:c>
      <x:c r="L527" s="2" t="str">
        <x:f>IF(ISNUMBER(K527),IF(AND(K527=1,I527="No"),1,0),K527)</x:f>
      </x:c>
      <x:c r="M527" s="2" t="n">
        <x:f>IF(ISNUMBER(K527),1,0)</x:f>
        <x:v>0</x:v>
      </x:c>
    </x:row>
    <x:row r="528" ht="24" customHeight="1">
      <x:c r="A528" s="2" t="str">
        <x:v>S06.03</x:v>
      </x:c>
      <x:c r="B528" s="2" t="str">
        <x:v>S06</x:v>
      </x:c>
      <x:c r="C528" s="2" t="str">
        <x:v>gpt_connected</x:v>
      </x:c>
      <x:c r="D528" s="2" t="n">
        <x:v>3</x:v>
      </x:c>
      <x:c r="E528" s="8"/>
      <x:c r="F528" s="8"/>
      <x:c r="G528" s="9"/>
      <x:c r="H528" s="9"/>
      <x:c r="I528" s="8"/>
      <x:c r="J528" s="8"/>
      <x:c r="K528" s="2" t="str">
        <x:f>IF(OR(E528="",F528="",G528="",H528="",I528="",J528=""),"",IF(E528="Harness blocked","BLOCKED",IF(AND(E528="Present",F528="Supplied"),1,IF(OR(E528="Missing",E528="Not reached"),0,"CHECK"))))</x:f>
      </x:c>
      <x:c r="L528" s="2" t="str">
        <x:f>IF(ISNUMBER(K528),IF(AND(K528=1,I528="No"),1,0),K528)</x:f>
      </x:c>
      <x:c r="M528" s="2" t="n">
        <x:f>IF(ISNUMBER(K528),1,0)</x:f>
        <x:v>0</x:v>
      </x:c>
    </x:row>
    <x:row r="529" ht="24" customHeight="1">
      <x:c r="A529" s="2" t="str">
        <x:v>S06.04</x:v>
      </x:c>
      <x:c r="B529" s="2" t="str">
        <x:v>S06</x:v>
      </x:c>
      <x:c r="C529" s="2" t="str">
        <x:v>gpt_connected</x:v>
      </x:c>
      <x:c r="D529" s="2" t="n">
        <x:v>3</x:v>
      </x:c>
      <x:c r="E529" s="8"/>
      <x:c r="F529" s="8"/>
      <x:c r="G529" s="9"/>
      <x:c r="H529" s="9"/>
      <x:c r="I529" s="8"/>
      <x:c r="J529" s="8"/>
      <x:c r="K529" s="2" t="str">
        <x:f>IF(OR(E529="",F529="",G529="",H529="",I529="",J529=""),"",IF(E529="Harness blocked","BLOCKED",IF(AND(E529="Present",F529="Supplied"),1,IF(OR(E529="Missing",E529="Not reached"),0,"CHECK"))))</x:f>
      </x:c>
      <x:c r="L529" s="2" t="str">
        <x:f>IF(ISNUMBER(K529),IF(AND(K529=1,I529="No"),1,0),K529)</x:f>
      </x:c>
      <x:c r="M529" s="2" t="n">
        <x:f>IF(ISNUMBER(K529),1,0)</x:f>
        <x:v>0</x:v>
      </x:c>
    </x:row>
    <x:row r="530" ht="24" customHeight="1">
      <x:c r="A530" s="2" t="str">
        <x:v>S06.05</x:v>
      </x:c>
      <x:c r="B530" s="2" t="str">
        <x:v>S06</x:v>
      </x:c>
      <x:c r="C530" s="2" t="str">
        <x:v>gpt_connected</x:v>
      </x:c>
      <x:c r="D530" s="2" t="n">
        <x:v>3</x:v>
      </x:c>
      <x:c r="E530" s="8"/>
      <x:c r="F530" s="8"/>
      <x:c r="G530" s="9"/>
      <x:c r="H530" s="9"/>
      <x:c r="I530" s="8"/>
      <x:c r="J530" s="8"/>
      <x:c r="K530" s="2" t="str">
        <x:f>IF(OR(E530="",F530="",G530="",H530="",I530="",J530=""),"",IF(E530="Harness blocked","BLOCKED",IF(AND(E530="Present",F530="Supplied"),1,IF(OR(E530="Missing",E530="Not reached"),0,"CHECK"))))</x:f>
      </x:c>
      <x:c r="L530" s="2" t="str">
        <x:f>IF(ISNUMBER(K530),IF(AND(K530=1,I530="No"),1,0),K530)</x:f>
      </x:c>
      <x:c r="M530" s="2" t="n">
        <x:f>IF(ISNUMBER(K530),1,0)</x:f>
        <x:v>0</x:v>
      </x:c>
    </x:row>
    <x:row r="531" ht="24" customHeight="1">
      <x:c r="A531" s="2" t="str">
        <x:v>S06.06</x:v>
      </x:c>
      <x:c r="B531" s="2" t="str">
        <x:v>S06</x:v>
      </x:c>
      <x:c r="C531" s="2" t="str">
        <x:v>gpt_connected</x:v>
      </x:c>
      <x:c r="D531" s="2" t="n">
        <x:v>3</x:v>
      </x:c>
      <x:c r="E531" s="8"/>
      <x:c r="F531" s="8"/>
      <x:c r="G531" s="9"/>
      <x:c r="H531" s="9"/>
      <x:c r="I531" s="8"/>
      <x:c r="J531" s="8"/>
      <x:c r="K531" s="2" t="str">
        <x:f>IF(OR(E531="",F531="",G531="",H531="",I531="",J531=""),"",IF(E531="Harness blocked","BLOCKED",IF(AND(E531="Present",F531="Supplied"),1,IF(OR(E531="Missing",E531="Not reached"),0,"CHECK"))))</x:f>
      </x:c>
      <x:c r="L531" s="2" t="str">
        <x:f>IF(ISNUMBER(K531),IF(AND(K531=1,I531="No"),1,0),K531)</x:f>
      </x:c>
      <x:c r="M531" s="2" t="n">
        <x:f>IF(ISNUMBER(K531),1,0)</x:f>
        <x:v>0</x:v>
      </x:c>
    </x:row>
    <x:row r="532" ht="24" customHeight="1">
      <x:c r="A532" s="2" t="str">
        <x:v>S06.07</x:v>
      </x:c>
      <x:c r="B532" s="2" t="str">
        <x:v>S06</x:v>
      </x:c>
      <x:c r="C532" s="2" t="str">
        <x:v>gpt_connected</x:v>
      </x:c>
      <x:c r="D532" s="2" t="n">
        <x:v>3</x:v>
      </x:c>
      <x:c r="E532" s="8"/>
      <x:c r="F532" s="8"/>
      <x:c r="G532" s="9"/>
      <x:c r="H532" s="9"/>
      <x:c r="I532" s="8"/>
      <x:c r="J532" s="8"/>
      <x:c r="K532" s="2" t="str">
        <x:f>IF(OR(E532="",F532="",G532="",H532="",I532="",J532=""),"",IF(E532="Harness blocked","BLOCKED",IF(AND(E532="Present",F532="Supplied"),1,IF(OR(E532="Missing",E532="Not reached"),0,"CHECK"))))</x:f>
      </x:c>
      <x:c r="L532" s="2" t="str">
        <x:f>IF(ISNUMBER(K532),IF(AND(K532=1,I532="No"),1,0),K532)</x:f>
      </x:c>
      <x:c r="M532" s="2" t="n">
        <x:f>IF(ISNUMBER(K532),1,0)</x:f>
        <x:v>0</x:v>
      </x:c>
    </x:row>
    <x:row r="533" ht="24" customHeight="1">
      <x:c r="A533" s="2" t="str">
        <x:v>S06.08</x:v>
      </x:c>
      <x:c r="B533" s="2" t="str">
        <x:v>S06</x:v>
      </x:c>
      <x:c r="C533" s="2" t="str">
        <x:v>gpt_connected</x:v>
      </x:c>
      <x:c r="D533" s="2" t="n">
        <x:v>3</x:v>
      </x:c>
      <x:c r="E533" s="8"/>
      <x:c r="F533" s="8"/>
      <x:c r="G533" s="9"/>
      <x:c r="H533" s="9"/>
      <x:c r="I533" s="8"/>
      <x:c r="J533" s="8"/>
      <x:c r="K533" s="2" t="str">
        <x:f>IF(OR(E533="",F533="",G533="",H533="",I533="",J533=""),"",IF(E533="Harness blocked","BLOCKED",IF(AND(E533="Present",F533="Supplied"),1,IF(OR(E533="Missing",E533="Not reached"),0,"CHECK"))))</x:f>
      </x:c>
      <x:c r="L533" s="2" t="str">
        <x:f>IF(ISNUMBER(K533),IF(AND(K533=1,I533="No"),1,0),K533)</x:f>
      </x:c>
      <x:c r="M533" s="2" t="n">
        <x:f>IF(ISNUMBER(K533),1,0)</x:f>
        <x:v>0</x:v>
      </x:c>
    </x:row>
    <x:row r="534" ht="24" customHeight="1">
      <x:c r="A534" s="2" t="str">
        <x:v>S07.01</x:v>
      </x:c>
      <x:c r="B534" s="2" t="str">
        <x:v>S07</x:v>
      </x:c>
      <x:c r="C534" s="2" t="str">
        <x:v>gpt_connected</x:v>
      </x:c>
      <x:c r="D534" s="2" t="n">
        <x:v>3</x:v>
      </x:c>
      <x:c r="E534" s="8"/>
      <x:c r="F534" s="8"/>
      <x:c r="G534" s="9"/>
      <x:c r="H534" s="9"/>
      <x:c r="I534" s="8"/>
      <x:c r="J534" s="8"/>
      <x:c r="K534" s="2" t="str">
        <x:f>IF(OR(E534="",F534="",G534="",H534="",I534="",J534=""),"",IF(E534="Harness blocked","BLOCKED",IF(AND(E534="Present",F534="Supplied"),1,IF(OR(E534="Missing",E534="Not reached"),0,"CHECK"))))</x:f>
      </x:c>
      <x:c r="L534" s="2" t="str">
        <x:f>IF(ISNUMBER(K534),IF(AND(K534=1,I534="No"),1,0),K534)</x:f>
      </x:c>
      <x:c r="M534" s="2" t="n">
        <x:f>IF(ISNUMBER(K534),1,0)</x:f>
        <x:v>0</x:v>
      </x:c>
    </x:row>
    <x:row r="535" ht="24" customHeight="1">
      <x:c r="A535" s="2" t="str">
        <x:v>S07.02</x:v>
      </x:c>
      <x:c r="B535" s="2" t="str">
        <x:v>S07</x:v>
      </x:c>
      <x:c r="C535" s="2" t="str">
        <x:v>gpt_connected</x:v>
      </x:c>
      <x:c r="D535" s="2" t="n">
        <x:v>3</x:v>
      </x:c>
      <x:c r="E535" s="8"/>
      <x:c r="F535" s="8"/>
      <x:c r="G535" s="9"/>
      <x:c r="H535" s="9"/>
      <x:c r="I535" s="8"/>
      <x:c r="J535" s="8"/>
      <x:c r="K535" s="2" t="str">
        <x:f>IF(OR(E535="",F535="",G535="",H535="",I535="",J535=""),"",IF(E535="Harness blocked","BLOCKED",IF(AND(E535="Present",F535="Supplied"),1,IF(OR(E535="Missing",E535="Not reached"),0,"CHECK"))))</x:f>
      </x:c>
      <x:c r="L535" s="2" t="str">
        <x:f>IF(ISNUMBER(K535),IF(AND(K535=1,I535="No"),1,0),K535)</x:f>
      </x:c>
      <x:c r="M535" s="2" t="n">
        <x:f>IF(ISNUMBER(K535),1,0)</x:f>
        <x:v>0</x:v>
      </x:c>
    </x:row>
    <x:row r="536" ht="24" customHeight="1">
      <x:c r="A536" s="2" t="str">
        <x:v>S07.03</x:v>
      </x:c>
      <x:c r="B536" s="2" t="str">
        <x:v>S07</x:v>
      </x:c>
      <x:c r="C536" s="2" t="str">
        <x:v>gpt_connected</x:v>
      </x:c>
      <x:c r="D536" s="2" t="n">
        <x:v>3</x:v>
      </x:c>
      <x:c r="E536" s="8"/>
      <x:c r="F536" s="8"/>
      <x:c r="G536" s="9"/>
      <x:c r="H536" s="9"/>
      <x:c r="I536" s="8"/>
      <x:c r="J536" s="8"/>
      <x:c r="K536" s="2" t="str">
        <x:f>IF(OR(E536="",F536="",G536="",H536="",I536="",J536=""),"",IF(E536="Harness blocked","BLOCKED",IF(AND(E536="Present",F536="Supplied"),1,IF(OR(E536="Missing",E536="Not reached"),0,"CHECK"))))</x:f>
      </x:c>
      <x:c r="L536" s="2" t="str">
        <x:f>IF(ISNUMBER(K536),IF(AND(K536=1,I536="No"),1,0),K536)</x:f>
      </x:c>
      <x:c r="M536" s="2" t="n">
        <x:f>IF(ISNUMBER(K536),1,0)</x:f>
        <x:v>0</x:v>
      </x:c>
    </x:row>
    <x:row r="537" ht="24" customHeight="1">
      <x:c r="A537" s="2" t="str">
        <x:v>S07.04</x:v>
      </x:c>
      <x:c r="B537" s="2" t="str">
        <x:v>S07</x:v>
      </x:c>
      <x:c r="C537" s="2" t="str">
        <x:v>gpt_connected</x:v>
      </x:c>
      <x:c r="D537" s="2" t="n">
        <x:v>3</x:v>
      </x:c>
      <x:c r="E537" s="8"/>
      <x:c r="F537" s="8"/>
      <x:c r="G537" s="9"/>
      <x:c r="H537" s="9"/>
      <x:c r="I537" s="8"/>
      <x:c r="J537" s="8"/>
      <x:c r="K537" s="2" t="str">
        <x:f>IF(OR(E537="",F537="",G537="",H537="",I537="",J537=""),"",IF(E537="Harness blocked","BLOCKED",IF(AND(E537="Present",F537="Supplied"),1,IF(OR(E537="Missing",E537="Not reached"),0,"CHECK"))))</x:f>
      </x:c>
      <x:c r="L537" s="2" t="str">
        <x:f>IF(ISNUMBER(K537),IF(AND(K537=1,I537="No"),1,0),K537)</x:f>
      </x:c>
      <x:c r="M537" s="2" t="n">
        <x:f>IF(ISNUMBER(K537),1,0)</x:f>
        <x:v>0</x:v>
      </x:c>
    </x:row>
    <x:row r="538" ht="24" customHeight="1">
      <x:c r="A538" s="2" t="str">
        <x:v>S07.05</x:v>
      </x:c>
      <x:c r="B538" s="2" t="str">
        <x:v>S07</x:v>
      </x:c>
      <x:c r="C538" s="2" t="str">
        <x:v>gpt_connected</x:v>
      </x:c>
      <x:c r="D538" s="2" t="n">
        <x:v>3</x:v>
      </x:c>
      <x:c r="E538" s="8"/>
      <x:c r="F538" s="8"/>
      <x:c r="G538" s="9"/>
      <x:c r="H538" s="9"/>
      <x:c r="I538" s="8"/>
      <x:c r="J538" s="8"/>
      <x:c r="K538" s="2" t="str">
        <x:f>IF(OR(E538="",F538="",G538="",H538="",I538="",J538=""),"",IF(E538="Harness blocked","BLOCKED",IF(AND(E538="Present",F538="Supplied"),1,IF(OR(E538="Missing",E538="Not reached"),0,"CHECK"))))</x:f>
      </x:c>
      <x:c r="L538" s="2" t="str">
        <x:f>IF(ISNUMBER(K538),IF(AND(K538=1,I538="No"),1,0),K538)</x:f>
      </x:c>
      <x:c r="M538" s="2" t="n">
        <x:f>IF(ISNUMBER(K538),1,0)</x:f>
        <x:v>0</x:v>
      </x:c>
    </x:row>
    <x:row r="539" ht="24" customHeight="1">
      <x:c r="A539" s="2" t="str">
        <x:v>S07.06</x:v>
      </x:c>
      <x:c r="B539" s="2" t="str">
        <x:v>S07</x:v>
      </x:c>
      <x:c r="C539" s="2" t="str">
        <x:v>gpt_connected</x:v>
      </x:c>
      <x:c r="D539" s="2" t="n">
        <x:v>3</x:v>
      </x:c>
      <x:c r="E539" s="8"/>
      <x:c r="F539" s="8"/>
      <x:c r="G539" s="9"/>
      <x:c r="H539" s="9"/>
      <x:c r="I539" s="8"/>
      <x:c r="J539" s="8"/>
      <x:c r="K539" s="2" t="str">
        <x:f>IF(OR(E539="",F539="",G539="",H539="",I539="",J539=""),"",IF(E539="Harness blocked","BLOCKED",IF(AND(E539="Present",F539="Supplied"),1,IF(OR(E539="Missing",E539="Not reached"),0,"CHECK"))))</x:f>
      </x:c>
      <x:c r="L539" s="2" t="str">
        <x:f>IF(ISNUMBER(K539),IF(AND(K539=1,I539="No"),1,0),K539)</x:f>
      </x:c>
      <x:c r="M539" s="2" t="n">
        <x:f>IF(ISNUMBER(K539),1,0)</x:f>
        <x:v>0</x:v>
      </x:c>
    </x:row>
    <x:row r="540" ht="24" customHeight="1">
      <x:c r="A540" s="2" t="str">
        <x:v>S07.07</x:v>
      </x:c>
      <x:c r="B540" s="2" t="str">
        <x:v>S07</x:v>
      </x:c>
      <x:c r="C540" s="2" t="str">
        <x:v>gpt_connected</x:v>
      </x:c>
      <x:c r="D540" s="2" t="n">
        <x:v>3</x:v>
      </x:c>
      <x:c r="E540" s="8"/>
      <x:c r="F540" s="8"/>
      <x:c r="G540" s="9"/>
      <x:c r="H540" s="9"/>
      <x:c r="I540" s="8"/>
      <x:c r="J540" s="8"/>
      <x:c r="K540" s="2" t="str">
        <x:f>IF(OR(E540="",F540="",G540="",H540="",I540="",J540=""),"",IF(E540="Harness blocked","BLOCKED",IF(AND(E540="Present",F540="Supplied"),1,IF(OR(E540="Missing",E540="Not reached"),0,"CHECK"))))</x:f>
      </x:c>
      <x:c r="L540" s="2" t="str">
        <x:f>IF(ISNUMBER(K540),IF(AND(K540=1,I540="No"),1,0),K540)</x:f>
      </x:c>
      <x:c r="M540" s="2" t="n">
        <x:f>IF(ISNUMBER(K540),1,0)</x:f>
        <x:v>0</x:v>
      </x:c>
    </x:row>
    <x:row r="541" ht="24" customHeight="1">
      <x:c r="A541" s="2" t="str">
        <x:v>S07.08</x:v>
      </x:c>
      <x:c r="B541" s="2" t="str">
        <x:v>S07</x:v>
      </x:c>
      <x:c r="C541" s="2" t="str">
        <x:v>gpt_connected</x:v>
      </x:c>
      <x:c r="D541" s="2" t="n">
        <x:v>3</x:v>
      </x:c>
      <x:c r="E541" s="8"/>
      <x:c r="F541" s="8"/>
      <x:c r="G541" s="9"/>
      <x:c r="H541" s="9"/>
      <x:c r="I541" s="8"/>
      <x:c r="J541" s="8"/>
      <x:c r="K541" s="2" t="str">
        <x:f>IF(OR(E541="",F541="",G541="",H541="",I541="",J541=""),"",IF(E541="Harness blocked","BLOCKED",IF(AND(E541="Present",F541="Supplied"),1,IF(OR(E541="Missing",E541="Not reached"),0,"CHECK"))))</x:f>
      </x:c>
      <x:c r="L541" s="2" t="str">
        <x:f>IF(ISNUMBER(K541),IF(AND(K541=1,I541="No"),1,0),K541)</x:f>
      </x:c>
      <x:c r="M541" s="2" t="n">
        <x:f>IF(ISNUMBER(K541),1,0)</x:f>
        <x:v>0</x:v>
      </x:c>
    </x:row>
    <x:row r="542" ht="24" customHeight="1">
      <x:c r="A542" s="2" t="str">
        <x:v>S08.01</x:v>
      </x:c>
      <x:c r="B542" s="2" t="str">
        <x:v>S08</x:v>
      </x:c>
      <x:c r="C542" s="2" t="str">
        <x:v>gpt_connected</x:v>
      </x:c>
      <x:c r="D542" s="2" t="n">
        <x:v>3</x:v>
      </x:c>
      <x:c r="E542" s="8"/>
      <x:c r="F542" s="8"/>
      <x:c r="G542" s="9"/>
      <x:c r="H542" s="9"/>
      <x:c r="I542" s="8"/>
      <x:c r="J542" s="8"/>
      <x:c r="K542" s="2" t="str">
        <x:f>IF(OR(E542="",F542="",G542="",H542="",I542="",J542=""),"",IF(E542="Harness blocked","BLOCKED",IF(AND(E542="Present",F542="Supplied"),1,IF(OR(E542="Missing",E542="Not reached"),0,"CHECK"))))</x:f>
      </x:c>
      <x:c r="L542" s="2" t="str">
        <x:f>IF(ISNUMBER(K542),IF(AND(K542=1,I542="No"),1,0),K542)</x:f>
      </x:c>
      <x:c r="M542" s="2" t="n">
        <x:f>IF(ISNUMBER(K542),1,0)</x:f>
        <x:v>0</x:v>
      </x:c>
    </x:row>
    <x:row r="543" ht="24" customHeight="1">
      <x:c r="A543" s="2" t="str">
        <x:v>S08.02</x:v>
      </x:c>
      <x:c r="B543" s="2" t="str">
        <x:v>S08</x:v>
      </x:c>
      <x:c r="C543" s="2" t="str">
        <x:v>gpt_connected</x:v>
      </x:c>
      <x:c r="D543" s="2" t="n">
        <x:v>3</x:v>
      </x:c>
      <x:c r="E543" s="8"/>
      <x:c r="F543" s="8"/>
      <x:c r="G543" s="9"/>
      <x:c r="H543" s="9"/>
      <x:c r="I543" s="8"/>
      <x:c r="J543" s="8"/>
      <x:c r="K543" s="2" t="str">
        <x:f>IF(OR(E543="",F543="",G543="",H543="",I543="",J543=""),"",IF(E543="Harness blocked","BLOCKED",IF(AND(E543="Present",F543="Supplied"),1,IF(OR(E543="Missing",E543="Not reached"),0,"CHECK"))))</x:f>
      </x:c>
      <x:c r="L543" s="2" t="str">
        <x:f>IF(ISNUMBER(K543),IF(AND(K543=1,I543="No"),1,0),K543)</x:f>
      </x:c>
      <x:c r="M543" s="2" t="n">
        <x:f>IF(ISNUMBER(K543),1,0)</x:f>
        <x:v>0</x:v>
      </x:c>
    </x:row>
    <x:row r="544" ht="24" customHeight="1">
      <x:c r="A544" s="2" t="str">
        <x:v>S08.03</x:v>
      </x:c>
      <x:c r="B544" s="2" t="str">
        <x:v>S08</x:v>
      </x:c>
      <x:c r="C544" s="2" t="str">
        <x:v>gpt_connected</x:v>
      </x:c>
      <x:c r="D544" s="2" t="n">
        <x:v>3</x:v>
      </x:c>
      <x:c r="E544" s="8"/>
      <x:c r="F544" s="8"/>
      <x:c r="G544" s="9"/>
      <x:c r="H544" s="9"/>
      <x:c r="I544" s="8"/>
      <x:c r="J544" s="8"/>
      <x:c r="K544" s="2" t="str">
        <x:f>IF(OR(E544="",F544="",G544="",H544="",I544="",J544=""),"",IF(E544="Harness blocked","BLOCKED",IF(AND(E544="Present",F544="Supplied"),1,IF(OR(E544="Missing",E544="Not reached"),0,"CHECK"))))</x:f>
      </x:c>
      <x:c r="L544" s="2" t="str">
        <x:f>IF(ISNUMBER(K544),IF(AND(K544=1,I544="No"),1,0),K544)</x:f>
      </x:c>
      <x:c r="M544" s="2" t="n">
        <x:f>IF(ISNUMBER(K544),1,0)</x:f>
        <x:v>0</x:v>
      </x:c>
    </x:row>
    <x:row r="545" ht="24" customHeight="1">
      <x:c r="A545" s="2" t="str">
        <x:v>S08.04</x:v>
      </x:c>
      <x:c r="B545" s="2" t="str">
        <x:v>S08</x:v>
      </x:c>
      <x:c r="C545" s="2" t="str">
        <x:v>gpt_connected</x:v>
      </x:c>
      <x:c r="D545" s="2" t="n">
        <x:v>3</x:v>
      </x:c>
      <x:c r="E545" s="8"/>
      <x:c r="F545" s="8"/>
      <x:c r="G545" s="9"/>
      <x:c r="H545" s="9"/>
      <x:c r="I545" s="8"/>
      <x:c r="J545" s="8"/>
      <x:c r="K545" s="2" t="str">
        <x:f>IF(OR(E545="",F545="",G545="",H545="",I545="",J545=""),"",IF(E545="Harness blocked","BLOCKED",IF(AND(E545="Present",F545="Supplied"),1,IF(OR(E545="Missing",E545="Not reached"),0,"CHECK"))))</x:f>
      </x:c>
      <x:c r="L545" s="2" t="str">
        <x:f>IF(ISNUMBER(K545),IF(AND(K545=1,I545="No"),1,0),K545)</x:f>
      </x:c>
      <x:c r="M545" s="2" t="n">
        <x:f>IF(ISNUMBER(K545),1,0)</x:f>
        <x:v>0</x:v>
      </x:c>
    </x:row>
    <x:row r="546" ht="24" customHeight="1">
      <x:c r="A546" s="2" t="str">
        <x:v>S08.05</x:v>
      </x:c>
      <x:c r="B546" s="2" t="str">
        <x:v>S08</x:v>
      </x:c>
      <x:c r="C546" s="2" t="str">
        <x:v>gpt_connected</x:v>
      </x:c>
      <x:c r="D546" s="2" t="n">
        <x:v>3</x:v>
      </x:c>
      <x:c r="E546" s="8"/>
      <x:c r="F546" s="8"/>
      <x:c r="G546" s="9"/>
      <x:c r="H546" s="9"/>
      <x:c r="I546" s="8"/>
      <x:c r="J546" s="8"/>
      <x:c r="K546" s="2" t="str">
        <x:f>IF(OR(E546="",F546="",G546="",H546="",I546="",J546=""),"",IF(E546="Harness blocked","BLOCKED",IF(AND(E546="Present",F546="Supplied"),1,IF(OR(E546="Missing",E546="Not reached"),0,"CHECK"))))</x:f>
      </x:c>
      <x:c r="L546" s="2" t="str">
        <x:f>IF(ISNUMBER(K546),IF(AND(K546=1,I546="No"),1,0),K546)</x:f>
      </x:c>
      <x:c r="M546" s="2" t="n">
        <x:f>IF(ISNUMBER(K546),1,0)</x:f>
        <x:v>0</x:v>
      </x:c>
    </x:row>
    <x:row r="547" ht="24" customHeight="1">
      <x:c r="A547" s="2" t="str">
        <x:v>S08.06</x:v>
      </x:c>
      <x:c r="B547" s="2" t="str">
        <x:v>S08</x:v>
      </x:c>
      <x:c r="C547" s="2" t="str">
        <x:v>gpt_connected</x:v>
      </x:c>
      <x:c r="D547" s="2" t="n">
        <x:v>3</x:v>
      </x:c>
      <x:c r="E547" s="8"/>
      <x:c r="F547" s="8"/>
      <x:c r="G547" s="9"/>
      <x:c r="H547" s="9"/>
      <x:c r="I547" s="8"/>
      <x:c r="J547" s="8"/>
      <x:c r="K547" s="2" t="str">
        <x:f>IF(OR(E547="",F547="",G547="",H547="",I547="",J547=""),"",IF(E547="Harness blocked","BLOCKED",IF(AND(E547="Present",F547="Supplied"),1,IF(OR(E547="Missing",E547="Not reached"),0,"CHECK"))))</x:f>
      </x:c>
      <x:c r="L547" s="2" t="str">
        <x:f>IF(ISNUMBER(K547),IF(AND(K547=1,I547="No"),1,0),K547)</x:f>
      </x:c>
      <x:c r="M547" s="2" t="n">
        <x:f>IF(ISNUMBER(K547),1,0)</x:f>
        <x:v>0</x:v>
      </x:c>
    </x:row>
    <x:row r="548" ht="24" customHeight="1">
      <x:c r="A548" s="2" t="str">
        <x:v>S08.07</x:v>
      </x:c>
      <x:c r="B548" s="2" t="str">
        <x:v>S08</x:v>
      </x:c>
      <x:c r="C548" s="2" t="str">
        <x:v>gpt_connected</x:v>
      </x:c>
      <x:c r="D548" s="2" t="n">
        <x:v>3</x:v>
      </x:c>
      <x:c r="E548" s="8"/>
      <x:c r="F548" s="8"/>
      <x:c r="G548" s="9"/>
      <x:c r="H548" s="9"/>
      <x:c r="I548" s="8"/>
      <x:c r="J548" s="8"/>
      <x:c r="K548" s="2" t="str">
        <x:f>IF(OR(E548="",F548="",G548="",H548="",I548="",J548=""),"",IF(E548="Harness blocked","BLOCKED",IF(AND(E548="Present",F548="Supplied"),1,IF(OR(E548="Missing",E548="Not reached"),0,"CHECK"))))</x:f>
      </x:c>
      <x:c r="L548" s="2" t="str">
        <x:f>IF(ISNUMBER(K548),IF(AND(K548=1,I548="No"),1,0),K548)</x:f>
      </x:c>
      <x:c r="M548" s="2" t="n">
        <x:f>IF(ISNUMBER(K548),1,0)</x:f>
        <x:v>0</x:v>
      </x:c>
    </x:row>
    <x:row r="549" ht="24" customHeight="1">
      <x:c r="A549" s="2" t="str">
        <x:v>S08.08</x:v>
      </x:c>
      <x:c r="B549" s="2" t="str">
        <x:v>S08</x:v>
      </x:c>
      <x:c r="C549" s="2" t="str">
        <x:v>gpt_connected</x:v>
      </x:c>
      <x:c r="D549" s="2" t="n">
        <x:v>3</x:v>
      </x:c>
      <x:c r="E549" s="8"/>
      <x:c r="F549" s="8"/>
      <x:c r="G549" s="9"/>
      <x:c r="H549" s="9"/>
      <x:c r="I549" s="8"/>
      <x:c r="J549" s="8"/>
      <x:c r="K549" s="2" t="str">
        <x:f>IF(OR(E549="",F549="",G549="",H549="",I549="",J549=""),"",IF(E549="Harness blocked","BLOCKED",IF(AND(E549="Present",F549="Supplied"),1,IF(OR(E549="Missing",E549="Not reached"),0,"CHECK"))))</x:f>
      </x:c>
      <x:c r="L549" s="2" t="str">
        <x:f>IF(ISNUMBER(K549),IF(AND(K549=1,I549="No"),1,0),K549)</x:f>
      </x:c>
      <x:c r="M549" s="2" t="n">
        <x:f>IF(ISNUMBER(K549),1,0)</x:f>
        <x:v>0</x:v>
      </x:c>
    </x:row>
    <x:row r="550" ht="24" customHeight="1">
      <x:c r="A550" s="2" t="str">
        <x:v>S09.01</x:v>
      </x:c>
      <x:c r="B550" s="2" t="str">
        <x:v>S09</x:v>
      </x:c>
      <x:c r="C550" s="2" t="str">
        <x:v>gpt_connected</x:v>
      </x:c>
      <x:c r="D550" s="2" t="n">
        <x:v>3</x:v>
      </x:c>
      <x:c r="E550" s="8"/>
      <x:c r="F550" s="8"/>
      <x:c r="G550" s="9"/>
      <x:c r="H550" s="9"/>
      <x:c r="I550" s="8"/>
      <x:c r="J550" s="8"/>
      <x:c r="K550" s="2" t="str">
        <x:f>IF(OR(E550="",F550="",G550="",H550="",I550="",J550=""),"",IF(E550="Harness blocked","BLOCKED",IF(AND(E550="Present",F550="Supplied"),1,IF(OR(E550="Missing",E550="Not reached"),0,"CHECK"))))</x:f>
      </x:c>
      <x:c r="L550" s="2" t="str">
        <x:f>IF(ISNUMBER(K550),IF(AND(K550=1,I550="No"),1,0),K550)</x:f>
      </x:c>
      <x:c r="M550" s="2" t="n">
        <x:f>IF(ISNUMBER(K550),1,0)</x:f>
        <x:v>0</x:v>
      </x:c>
    </x:row>
    <x:row r="551" ht="24" customHeight="1">
      <x:c r="A551" s="2" t="str">
        <x:v>S09.02</x:v>
      </x:c>
      <x:c r="B551" s="2" t="str">
        <x:v>S09</x:v>
      </x:c>
      <x:c r="C551" s="2" t="str">
        <x:v>gpt_connected</x:v>
      </x:c>
      <x:c r="D551" s="2" t="n">
        <x:v>3</x:v>
      </x:c>
      <x:c r="E551" s="8"/>
      <x:c r="F551" s="8"/>
      <x:c r="G551" s="9"/>
      <x:c r="H551" s="9"/>
      <x:c r="I551" s="8"/>
      <x:c r="J551" s="8"/>
      <x:c r="K551" s="2" t="str">
        <x:f>IF(OR(E551="",F551="",G551="",H551="",I551="",J551=""),"",IF(E551="Harness blocked","BLOCKED",IF(AND(E551="Present",F551="Supplied"),1,IF(OR(E551="Missing",E551="Not reached"),0,"CHECK"))))</x:f>
      </x:c>
      <x:c r="L551" s="2" t="str">
        <x:f>IF(ISNUMBER(K551),IF(AND(K551=1,I551="No"),1,0),K551)</x:f>
      </x:c>
      <x:c r="M551" s="2" t="n">
        <x:f>IF(ISNUMBER(K551),1,0)</x:f>
        <x:v>0</x:v>
      </x:c>
    </x:row>
    <x:row r="552" ht="24" customHeight="1">
      <x:c r="A552" s="2" t="str">
        <x:v>S09.03</x:v>
      </x:c>
      <x:c r="B552" s="2" t="str">
        <x:v>S09</x:v>
      </x:c>
      <x:c r="C552" s="2" t="str">
        <x:v>gpt_connected</x:v>
      </x:c>
      <x:c r="D552" s="2" t="n">
        <x:v>3</x:v>
      </x:c>
      <x:c r="E552" s="8"/>
      <x:c r="F552" s="8"/>
      <x:c r="G552" s="9"/>
      <x:c r="H552" s="9"/>
      <x:c r="I552" s="8"/>
      <x:c r="J552" s="8"/>
      <x:c r="K552" s="2" t="str">
        <x:f>IF(OR(E552="",F552="",G552="",H552="",I552="",J552=""),"",IF(E552="Harness blocked","BLOCKED",IF(AND(E552="Present",F552="Supplied"),1,IF(OR(E552="Missing",E552="Not reached"),0,"CHECK"))))</x:f>
      </x:c>
      <x:c r="L552" s="2" t="str">
        <x:f>IF(ISNUMBER(K552),IF(AND(K552=1,I552="No"),1,0),K552)</x:f>
      </x:c>
      <x:c r="M552" s="2" t="n">
        <x:f>IF(ISNUMBER(K552),1,0)</x:f>
        <x:v>0</x:v>
      </x:c>
    </x:row>
    <x:row r="553" ht="24" customHeight="1">
      <x:c r="A553" s="2" t="str">
        <x:v>S09.04</x:v>
      </x:c>
      <x:c r="B553" s="2" t="str">
        <x:v>S09</x:v>
      </x:c>
      <x:c r="C553" s="2" t="str">
        <x:v>gpt_connected</x:v>
      </x:c>
      <x:c r="D553" s="2" t="n">
        <x:v>3</x:v>
      </x:c>
      <x:c r="E553" s="8"/>
      <x:c r="F553" s="8"/>
      <x:c r="G553" s="9"/>
      <x:c r="H553" s="9"/>
      <x:c r="I553" s="8"/>
      <x:c r="J553" s="8"/>
      <x:c r="K553" s="2" t="str">
        <x:f>IF(OR(E553="",F553="",G553="",H553="",I553="",J553=""),"",IF(E553="Harness blocked","BLOCKED",IF(AND(E553="Present",F553="Supplied"),1,IF(OR(E553="Missing",E553="Not reached"),0,"CHECK"))))</x:f>
      </x:c>
      <x:c r="L553" s="2" t="str">
        <x:f>IF(ISNUMBER(K553),IF(AND(K553=1,I553="No"),1,0),K553)</x:f>
      </x:c>
      <x:c r="M553" s="2" t="n">
        <x:f>IF(ISNUMBER(K553),1,0)</x:f>
        <x:v>0</x:v>
      </x:c>
    </x:row>
    <x:row r="554" ht="24" customHeight="1">
      <x:c r="A554" s="2" t="str">
        <x:v>S09.05</x:v>
      </x:c>
      <x:c r="B554" s="2" t="str">
        <x:v>S09</x:v>
      </x:c>
      <x:c r="C554" s="2" t="str">
        <x:v>gpt_connected</x:v>
      </x:c>
      <x:c r="D554" s="2" t="n">
        <x:v>3</x:v>
      </x:c>
      <x:c r="E554" s="8"/>
      <x:c r="F554" s="8"/>
      <x:c r="G554" s="9"/>
      <x:c r="H554" s="9"/>
      <x:c r="I554" s="8"/>
      <x:c r="J554" s="8"/>
      <x:c r="K554" s="2" t="str">
        <x:f>IF(OR(E554="",F554="",G554="",H554="",I554="",J554=""),"",IF(E554="Harness blocked","BLOCKED",IF(AND(E554="Present",F554="Supplied"),1,IF(OR(E554="Missing",E554="Not reached"),0,"CHECK"))))</x:f>
      </x:c>
      <x:c r="L554" s="2" t="str">
        <x:f>IF(ISNUMBER(K554),IF(AND(K554=1,I554="No"),1,0),K554)</x:f>
      </x:c>
      <x:c r="M554" s="2" t="n">
        <x:f>IF(ISNUMBER(K554),1,0)</x:f>
        <x:v>0</x:v>
      </x:c>
    </x:row>
    <x:row r="555" ht="24" customHeight="1">
      <x:c r="A555" s="2" t="str">
        <x:v>S09.06</x:v>
      </x:c>
      <x:c r="B555" s="2" t="str">
        <x:v>S09</x:v>
      </x:c>
      <x:c r="C555" s="2" t="str">
        <x:v>gpt_connected</x:v>
      </x:c>
      <x:c r="D555" s="2" t="n">
        <x:v>3</x:v>
      </x:c>
      <x:c r="E555" s="8"/>
      <x:c r="F555" s="8"/>
      <x:c r="G555" s="9"/>
      <x:c r="H555" s="9"/>
      <x:c r="I555" s="8"/>
      <x:c r="J555" s="8"/>
      <x:c r="K555" s="2" t="str">
        <x:f>IF(OR(E555="",F555="",G555="",H555="",I555="",J555=""),"",IF(E555="Harness blocked","BLOCKED",IF(AND(E555="Present",F555="Supplied"),1,IF(OR(E555="Missing",E555="Not reached"),0,"CHECK"))))</x:f>
      </x:c>
      <x:c r="L555" s="2" t="str">
        <x:f>IF(ISNUMBER(K555),IF(AND(K555=1,I555="No"),1,0),K555)</x:f>
      </x:c>
      <x:c r="M555" s="2" t="n">
        <x:f>IF(ISNUMBER(K555),1,0)</x:f>
        <x:v>0</x:v>
      </x:c>
    </x:row>
    <x:row r="556" ht="24" customHeight="1">
      <x:c r="A556" s="2" t="str">
        <x:v>S09.07</x:v>
      </x:c>
      <x:c r="B556" s="2" t="str">
        <x:v>S09</x:v>
      </x:c>
      <x:c r="C556" s="2" t="str">
        <x:v>gpt_connected</x:v>
      </x:c>
      <x:c r="D556" s="2" t="n">
        <x:v>3</x:v>
      </x:c>
      <x:c r="E556" s="8"/>
      <x:c r="F556" s="8"/>
      <x:c r="G556" s="9"/>
      <x:c r="H556" s="9"/>
      <x:c r="I556" s="8"/>
      <x:c r="J556" s="8"/>
      <x:c r="K556" s="2" t="str">
        <x:f>IF(OR(E556="",F556="",G556="",H556="",I556="",J556=""),"",IF(E556="Harness blocked","BLOCKED",IF(AND(E556="Present",F556="Supplied"),1,IF(OR(E556="Missing",E556="Not reached"),0,"CHECK"))))</x:f>
      </x:c>
      <x:c r="L556" s="2" t="str">
        <x:f>IF(ISNUMBER(K556),IF(AND(K556=1,I556="No"),1,0),K556)</x:f>
      </x:c>
      <x:c r="M556" s="2" t="n">
        <x:f>IF(ISNUMBER(K556),1,0)</x:f>
        <x:v>0</x:v>
      </x:c>
    </x:row>
    <x:row r="557" ht="24" customHeight="1">
      <x:c r="A557" s="2" t="str">
        <x:v>S09.08</x:v>
      </x:c>
      <x:c r="B557" s="2" t="str">
        <x:v>S09</x:v>
      </x:c>
      <x:c r="C557" s="2" t="str">
        <x:v>gpt_connected</x:v>
      </x:c>
      <x:c r="D557" s="2" t="n">
        <x:v>3</x:v>
      </x:c>
      <x:c r="E557" s="8"/>
      <x:c r="F557" s="8"/>
      <x:c r="G557" s="9"/>
      <x:c r="H557" s="9"/>
      <x:c r="I557" s="8"/>
      <x:c r="J557" s="8"/>
      <x:c r="K557" s="2" t="str">
        <x:f>IF(OR(E557="",F557="",G557="",H557="",I557="",J557=""),"",IF(E557="Harness blocked","BLOCKED",IF(AND(E557="Present",F557="Supplied"),1,IF(OR(E557="Missing",E557="Not reached"),0,"CHECK"))))</x:f>
      </x:c>
      <x:c r="L557" s="2" t="str">
        <x:f>IF(ISNUMBER(K557),IF(AND(K557=1,I557="No"),1,0),K557)</x:f>
      </x:c>
      <x:c r="M557" s="2" t="n">
        <x:f>IF(ISNUMBER(K557),1,0)</x:f>
        <x:v>0</x:v>
      </x:c>
    </x:row>
    <x:row r="558" ht="24" customHeight="1">
      <x:c r="A558" s="2" t="str">
        <x:v>S10.01</x:v>
      </x:c>
      <x:c r="B558" s="2" t="str">
        <x:v>S10</x:v>
      </x:c>
      <x:c r="C558" s="2" t="str">
        <x:v>gpt_connected</x:v>
      </x:c>
      <x:c r="D558" s="2" t="n">
        <x:v>3</x:v>
      </x:c>
      <x:c r="E558" s="8"/>
      <x:c r="F558" s="8"/>
      <x:c r="G558" s="9"/>
      <x:c r="H558" s="9"/>
      <x:c r="I558" s="8"/>
      <x:c r="J558" s="8"/>
      <x:c r="K558" s="2" t="str">
        <x:f>IF(OR(E558="",F558="",G558="",H558="",I558="",J558=""),"",IF(E558="Harness blocked","BLOCKED",IF(AND(E558="Present",F558="Supplied"),1,IF(OR(E558="Missing",E558="Not reached"),0,"CHECK"))))</x:f>
      </x:c>
      <x:c r="L558" s="2" t="str">
        <x:f>IF(ISNUMBER(K558),IF(AND(K558=1,I558="No"),1,0),K558)</x:f>
      </x:c>
      <x:c r="M558" s="2" t="n">
        <x:f>IF(ISNUMBER(K558),1,0)</x:f>
        <x:v>0</x:v>
      </x:c>
    </x:row>
    <x:row r="559" ht="24" customHeight="1">
      <x:c r="A559" s="2" t="str">
        <x:v>S10.02</x:v>
      </x:c>
      <x:c r="B559" s="2" t="str">
        <x:v>S10</x:v>
      </x:c>
      <x:c r="C559" s="2" t="str">
        <x:v>gpt_connected</x:v>
      </x:c>
      <x:c r="D559" s="2" t="n">
        <x:v>3</x:v>
      </x:c>
      <x:c r="E559" s="8"/>
      <x:c r="F559" s="8"/>
      <x:c r="G559" s="9"/>
      <x:c r="H559" s="9"/>
      <x:c r="I559" s="8"/>
      <x:c r="J559" s="8"/>
      <x:c r="K559" s="2" t="str">
        <x:f>IF(OR(E559="",F559="",G559="",H559="",I559="",J559=""),"",IF(E559="Harness blocked","BLOCKED",IF(AND(E559="Present",F559="Supplied"),1,IF(OR(E559="Missing",E559="Not reached"),0,"CHECK"))))</x:f>
      </x:c>
      <x:c r="L559" s="2" t="str">
        <x:f>IF(ISNUMBER(K559),IF(AND(K559=1,I559="No"),1,0),K559)</x:f>
      </x:c>
      <x:c r="M559" s="2" t="n">
        <x:f>IF(ISNUMBER(K559),1,0)</x:f>
        <x:v>0</x:v>
      </x:c>
    </x:row>
    <x:row r="560" ht="24" customHeight="1">
      <x:c r="A560" s="2" t="str">
        <x:v>S10.03</x:v>
      </x:c>
      <x:c r="B560" s="2" t="str">
        <x:v>S10</x:v>
      </x:c>
      <x:c r="C560" s="2" t="str">
        <x:v>gpt_connected</x:v>
      </x:c>
      <x:c r="D560" s="2" t="n">
        <x:v>3</x:v>
      </x:c>
      <x:c r="E560" s="8"/>
      <x:c r="F560" s="8"/>
      <x:c r="G560" s="9"/>
      <x:c r="H560" s="9"/>
      <x:c r="I560" s="8"/>
      <x:c r="J560" s="8"/>
      <x:c r="K560" s="2" t="str">
        <x:f>IF(OR(E560="",F560="",G560="",H560="",I560="",J560=""),"",IF(E560="Harness blocked","BLOCKED",IF(AND(E560="Present",F560="Supplied"),1,IF(OR(E560="Missing",E560="Not reached"),0,"CHECK"))))</x:f>
      </x:c>
      <x:c r="L560" s="2" t="str">
        <x:f>IF(ISNUMBER(K560),IF(AND(K560=1,I560="No"),1,0),K560)</x:f>
      </x:c>
      <x:c r="M560" s="2" t="n">
        <x:f>IF(ISNUMBER(K560),1,0)</x:f>
        <x:v>0</x:v>
      </x:c>
    </x:row>
    <x:row r="561" ht="24" customHeight="1">
      <x:c r="A561" s="2" t="str">
        <x:v>S10.04</x:v>
      </x:c>
      <x:c r="B561" s="2" t="str">
        <x:v>S10</x:v>
      </x:c>
      <x:c r="C561" s="2" t="str">
        <x:v>gpt_connected</x:v>
      </x:c>
      <x:c r="D561" s="2" t="n">
        <x:v>3</x:v>
      </x:c>
      <x:c r="E561" s="8"/>
      <x:c r="F561" s="8"/>
      <x:c r="G561" s="9"/>
      <x:c r="H561" s="9"/>
      <x:c r="I561" s="8"/>
      <x:c r="J561" s="8"/>
      <x:c r="K561" s="2" t="str">
        <x:f>IF(OR(E561="",F561="",G561="",H561="",I561="",J561=""),"",IF(E561="Harness blocked","BLOCKED",IF(AND(E561="Present",F561="Supplied"),1,IF(OR(E561="Missing",E561="Not reached"),0,"CHECK"))))</x:f>
      </x:c>
      <x:c r="L561" s="2" t="str">
        <x:f>IF(ISNUMBER(K561),IF(AND(K561=1,I561="No"),1,0),K561)</x:f>
      </x:c>
      <x:c r="M561" s="2" t="n">
        <x:f>IF(ISNUMBER(K561),1,0)</x:f>
        <x:v>0</x:v>
      </x:c>
    </x:row>
    <x:row r="562" ht="24" customHeight="1">
      <x:c r="A562" s="2" t="str">
        <x:v>S10.05</x:v>
      </x:c>
      <x:c r="B562" s="2" t="str">
        <x:v>S10</x:v>
      </x:c>
      <x:c r="C562" s="2" t="str">
        <x:v>gpt_connected</x:v>
      </x:c>
      <x:c r="D562" s="2" t="n">
        <x:v>3</x:v>
      </x:c>
      <x:c r="E562" s="8"/>
      <x:c r="F562" s="8"/>
      <x:c r="G562" s="9"/>
      <x:c r="H562" s="9"/>
      <x:c r="I562" s="8"/>
      <x:c r="J562" s="8"/>
      <x:c r="K562" s="2" t="str">
        <x:f>IF(OR(E562="",F562="",G562="",H562="",I562="",J562=""),"",IF(E562="Harness blocked","BLOCKED",IF(AND(E562="Present",F562="Supplied"),1,IF(OR(E562="Missing",E562="Not reached"),0,"CHECK"))))</x:f>
      </x:c>
      <x:c r="L562" s="2" t="str">
        <x:f>IF(ISNUMBER(K562),IF(AND(K562=1,I562="No"),1,0),K562)</x:f>
      </x:c>
      <x:c r="M562" s="2" t="n">
        <x:f>IF(ISNUMBER(K562),1,0)</x:f>
        <x:v>0</x:v>
      </x:c>
    </x:row>
    <x:row r="563" ht="24" customHeight="1">
      <x:c r="A563" s="2" t="str">
        <x:v>S10.06</x:v>
      </x:c>
      <x:c r="B563" s="2" t="str">
        <x:v>S10</x:v>
      </x:c>
      <x:c r="C563" s="2" t="str">
        <x:v>gpt_connected</x:v>
      </x:c>
      <x:c r="D563" s="2" t="n">
        <x:v>3</x:v>
      </x:c>
      <x:c r="E563" s="8"/>
      <x:c r="F563" s="8"/>
      <x:c r="G563" s="9"/>
      <x:c r="H563" s="9"/>
      <x:c r="I563" s="8"/>
      <x:c r="J563" s="8"/>
      <x:c r="K563" s="2" t="str">
        <x:f>IF(OR(E563="",F563="",G563="",H563="",I563="",J563=""),"",IF(E563="Harness blocked","BLOCKED",IF(AND(E563="Present",F563="Supplied"),1,IF(OR(E563="Missing",E563="Not reached"),0,"CHECK"))))</x:f>
      </x:c>
      <x:c r="L563" s="2" t="str">
        <x:f>IF(ISNUMBER(K563),IF(AND(K563=1,I563="No"),1,0),K563)</x:f>
      </x:c>
      <x:c r="M563" s="2" t="n">
        <x:f>IF(ISNUMBER(K563),1,0)</x:f>
        <x:v>0</x:v>
      </x:c>
    </x:row>
    <x:row r="564" ht="24" customHeight="1">
      <x:c r="A564" s="2" t="str">
        <x:v>S10.07</x:v>
      </x:c>
      <x:c r="B564" s="2" t="str">
        <x:v>S10</x:v>
      </x:c>
      <x:c r="C564" s="2" t="str">
        <x:v>gpt_connected</x:v>
      </x:c>
      <x:c r="D564" s="2" t="n">
        <x:v>3</x:v>
      </x:c>
      <x:c r="E564" s="8"/>
      <x:c r="F564" s="8"/>
      <x:c r="G564" s="9"/>
      <x:c r="H564" s="9"/>
      <x:c r="I564" s="8"/>
      <x:c r="J564" s="8"/>
      <x:c r="K564" s="2" t="str">
        <x:f>IF(OR(E564="",F564="",G564="",H564="",I564="",J564=""),"",IF(E564="Harness blocked","BLOCKED",IF(AND(E564="Present",F564="Supplied"),1,IF(OR(E564="Missing",E564="Not reached"),0,"CHECK"))))</x:f>
      </x:c>
      <x:c r="L564" s="2" t="str">
        <x:f>IF(ISNUMBER(K564),IF(AND(K564=1,I564="No"),1,0),K564)</x:f>
      </x:c>
      <x:c r="M564" s="2" t="n">
        <x:f>IF(ISNUMBER(K564),1,0)</x:f>
        <x:v>0</x:v>
      </x:c>
    </x:row>
    <x:row r="565" ht="24" customHeight="1">
      <x:c r="A565" s="2" t="str">
        <x:v>S10.08</x:v>
      </x:c>
      <x:c r="B565" s="2" t="str">
        <x:v>S10</x:v>
      </x:c>
      <x:c r="C565" s="2" t="str">
        <x:v>gpt_connected</x:v>
      </x:c>
      <x:c r="D565" s="2" t="n">
        <x:v>3</x:v>
      </x:c>
      <x:c r="E565" s="8"/>
      <x:c r="F565" s="8"/>
      <x:c r="G565" s="9"/>
      <x:c r="H565" s="9"/>
      <x:c r="I565" s="8"/>
      <x:c r="J565" s="8"/>
      <x:c r="K565" s="2" t="str">
        <x:f>IF(OR(E565="",F565="",G565="",H565="",I565="",J565=""),"",IF(E565="Harness blocked","BLOCKED",IF(AND(E565="Present",F565="Supplied"),1,IF(OR(E565="Missing",E565="Not reached"),0,"CHECK"))))</x:f>
      </x:c>
      <x:c r="L565" s="2" t="str">
        <x:f>IF(ISNUMBER(K565),IF(AND(K565=1,I565="No"),1,0),K565)</x:f>
      </x:c>
      <x:c r="M565" s="2" t="n">
        <x:f>IF(ISNUMBER(K565),1,0)</x:f>
        <x:v>0</x:v>
      </x:c>
    </x:row>
    <x:row r="566" ht="24" customHeight="1">
      <x:c r="A566" s="2" t="str">
        <x:v>S11.01</x:v>
      </x:c>
      <x:c r="B566" s="2" t="str">
        <x:v>S11</x:v>
      </x:c>
      <x:c r="C566" s="2" t="str">
        <x:v>gpt_connected</x:v>
      </x:c>
      <x:c r="D566" s="2" t="n">
        <x:v>3</x:v>
      </x:c>
      <x:c r="E566" s="8"/>
      <x:c r="F566" s="8"/>
      <x:c r="G566" s="9"/>
      <x:c r="H566" s="9"/>
      <x:c r="I566" s="8"/>
      <x:c r="J566" s="8"/>
      <x:c r="K566" s="2" t="str">
        <x:f>IF(OR(E566="",F566="",G566="",H566="",I566="",J566=""),"",IF(E566="Harness blocked","BLOCKED",IF(AND(E566="Present",F566="Supplied"),1,IF(OR(E566="Missing",E566="Not reached"),0,"CHECK"))))</x:f>
      </x:c>
      <x:c r="L566" s="2" t="str">
        <x:f>IF(ISNUMBER(K566),IF(AND(K566=1,I566="No"),1,0),K566)</x:f>
      </x:c>
      <x:c r="M566" s="2" t="n">
        <x:f>IF(ISNUMBER(K566),1,0)</x:f>
        <x:v>0</x:v>
      </x:c>
    </x:row>
    <x:row r="567" ht="24" customHeight="1">
      <x:c r="A567" s="2" t="str">
        <x:v>S11.02</x:v>
      </x:c>
      <x:c r="B567" s="2" t="str">
        <x:v>S11</x:v>
      </x:c>
      <x:c r="C567" s="2" t="str">
        <x:v>gpt_connected</x:v>
      </x:c>
      <x:c r="D567" s="2" t="n">
        <x:v>3</x:v>
      </x:c>
      <x:c r="E567" s="8"/>
      <x:c r="F567" s="8"/>
      <x:c r="G567" s="9"/>
      <x:c r="H567" s="9"/>
      <x:c r="I567" s="8"/>
      <x:c r="J567" s="8"/>
      <x:c r="K567" s="2" t="str">
        <x:f>IF(OR(E567="",F567="",G567="",H567="",I567="",J567=""),"",IF(E567="Harness blocked","BLOCKED",IF(AND(E567="Present",F567="Supplied"),1,IF(OR(E567="Missing",E567="Not reached"),0,"CHECK"))))</x:f>
      </x:c>
      <x:c r="L567" s="2" t="str">
        <x:f>IF(ISNUMBER(K567),IF(AND(K567=1,I567="No"),1,0),K567)</x:f>
      </x:c>
      <x:c r="M567" s="2" t="n">
        <x:f>IF(ISNUMBER(K567),1,0)</x:f>
        <x:v>0</x:v>
      </x:c>
    </x:row>
    <x:row r="568" ht="24" customHeight="1">
      <x:c r="A568" s="2" t="str">
        <x:v>S11.03</x:v>
      </x:c>
      <x:c r="B568" s="2" t="str">
        <x:v>S11</x:v>
      </x:c>
      <x:c r="C568" s="2" t="str">
        <x:v>gpt_connected</x:v>
      </x:c>
      <x:c r="D568" s="2" t="n">
        <x:v>3</x:v>
      </x:c>
      <x:c r="E568" s="8"/>
      <x:c r="F568" s="8"/>
      <x:c r="G568" s="9"/>
      <x:c r="H568" s="9"/>
      <x:c r="I568" s="8"/>
      <x:c r="J568" s="8"/>
      <x:c r="K568" s="2" t="str">
        <x:f>IF(OR(E568="",F568="",G568="",H568="",I568="",J568=""),"",IF(E568="Harness blocked","BLOCKED",IF(AND(E568="Present",F568="Supplied"),1,IF(OR(E568="Missing",E568="Not reached"),0,"CHECK"))))</x:f>
      </x:c>
      <x:c r="L568" s="2" t="str">
        <x:f>IF(ISNUMBER(K568),IF(AND(K568=1,I568="No"),1,0),K568)</x:f>
      </x:c>
      <x:c r="M568" s="2" t="n">
        <x:f>IF(ISNUMBER(K568),1,0)</x:f>
        <x:v>0</x:v>
      </x:c>
    </x:row>
    <x:row r="569" ht="24" customHeight="1">
      <x:c r="A569" s="2" t="str">
        <x:v>S11.04</x:v>
      </x:c>
      <x:c r="B569" s="2" t="str">
        <x:v>S11</x:v>
      </x:c>
      <x:c r="C569" s="2" t="str">
        <x:v>gpt_connected</x:v>
      </x:c>
      <x:c r="D569" s="2" t="n">
        <x:v>3</x:v>
      </x:c>
      <x:c r="E569" s="8"/>
      <x:c r="F569" s="8"/>
      <x:c r="G569" s="9"/>
      <x:c r="H569" s="9"/>
      <x:c r="I569" s="8"/>
      <x:c r="J569" s="8"/>
      <x:c r="K569" s="2" t="str">
        <x:f>IF(OR(E569="",F569="",G569="",H569="",I569="",J569=""),"",IF(E569="Harness blocked","BLOCKED",IF(AND(E569="Present",F569="Supplied"),1,IF(OR(E569="Missing",E569="Not reached"),0,"CHECK"))))</x:f>
      </x:c>
      <x:c r="L569" s="2" t="str">
        <x:f>IF(ISNUMBER(K569),IF(AND(K569=1,I569="No"),1,0),K569)</x:f>
      </x:c>
      <x:c r="M569" s="2" t="n">
        <x:f>IF(ISNUMBER(K569),1,0)</x:f>
        <x:v>0</x:v>
      </x:c>
    </x:row>
    <x:row r="570" ht="24" customHeight="1">
      <x:c r="A570" s="2" t="str">
        <x:v>S11.05</x:v>
      </x:c>
      <x:c r="B570" s="2" t="str">
        <x:v>S11</x:v>
      </x:c>
      <x:c r="C570" s="2" t="str">
        <x:v>gpt_connected</x:v>
      </x:c>
      <x:c r="D570" s="2" t="n">
        <x:v>3</x:v>
      </x:c>
      <x:c r="E570" s="8"/>
      <x:c r="F570" s="8"/>
      <x:c r="G570" s="9"/>
      <x:c r="H570" s="9"/>
      <x:c r="I570" s="8"/>
      <x:c r="J570" s="8"/>
      <x:c r="K570" s="2" t="str">
        <x:f>IF(OR(E570="",F570="",G570="",H570="",I570="",J570=""),"",IF(E570="Harness blocked","BLOCKED",IF(AND(E570="Present",F570="Supplied"),1,IF(OR(E570="Missing",E570="Not reached"),0,"CHECK"))))</x:f>
      </x:c>
      <x:c r="L570" s="2" t="str">
        <x:f>IF(ISNUMBER(K570),IF(AND(K570=1,I570="No"),1,0),K570)</x:f>
      </x:c>
      <x:c r="M570" s="2" t="n">
        <x:f>IF(ISNUMBER(K570),1,0)</x:f>
        <x:v>0</x:v>
      </x:c>
    </x:row>
    <x:row r="571" ht="24" customHeight="1">
      <x:c r="A571" s="2" t="str">
        <x:v>S11.06</x:v>
      </x:c>
      <x:c r="B571" s="2" t="str">
        <x:v>S11</x:v>
      </x:c>
      <x:c r="C571" s="2" t="str">
        <x:v>gpt_connected</x:v>
      </x:c>
      <x:c r="D571" s="2" t="n">
        <x:v>3</x:v>
      </x:c>
      <x:c r="E571" s="8"/>
      <x:c r="F571" s="8"/>
      <x:c r="G571" s="9"/>
      <x:c r="H571" s="9"/>
      <x:c r="I571" s="8"/>
      <x:c r="J571" s="8"/>
      <x:c r="K571" s="2" t="str">
        <x:f>IF(OR(E571="",F571="",G571="",H571="",I571="",J571=""),"",IF(E571="Harness blocked","BLOCKED",IF(AND(E571="Present",F571="Supplied"),1,IF(OR(E571="Missing",E571="Not reached"),0,"CHECK"))))</x:f>
      </x:c>
      <x:c r="L571" s="2" t="str">
        <x:f>IF(ISNUMBER(K571),IF(AND(K571=1,I571="No"),1,0),K571)</x:f>
      </x:c>
      <x:c r="M571" s="2" t="n">
        <x:f>IF(ISNUMBER(K571),1,0)</x:f>
        <x:v>0</x:v>
      </x:c>
    </x:row>
    <x:row r="572" ht="24" customHeight="1">
      <x:c r="A572" s="2" t="str">
        <x:v>S11.07</x:v>
      </x:c>
      <x:c r="B572" s="2" t="str">
        <x:v>S11</x:v>
      </x:c>
      <x:c r="C572" s="2" t="str">
        <x:v>gpt_connected</x:v>
      </x:c>
      <x:c r="D572" s="2" t="n">
        <x:v>3</x:v>
      </x:c>
      <x:c r="E572" s="8"/>
      <x:c r="F572" s="8"/>
      <x:c r="G572" s="9"/>
      <x:c r="H572" s="9"/>
      <x:c r="I572" s="8"/>
      <x:c r="J572" s="8"/>
      <x:c r="K572" s="2" t="str">
        <x:f>IF(OR(E572="",F572="",G572="",H572="",I572="",J572=""),"",IF(E572="Harness blocked","BLOCKED",IF(AND(E572="Present",F572="Supplied"),1,IF(OR(E572="Missing",E572="Not reached"),0,"CHECK"))))</x:f>
      </x:c>
      <x:c r="L572" s="2" t="str">
        <x:f>IF(ISNUMBER(K572),IF(AND(K572=1,I572="No"),1,0),K572)</x:f>
      </x:c>
      <x:c r="M572" s="2" t="n">
        <x:f>IF(ISNUMBER(K572),1,0)</x:f>
        <x:v>0</x:v>
      </x:c>
    </x:row>
    <x:row r="573" ht="24" customHeight="1">
      <x:c r="A573" s="2" t="str">
        <x:v>S11.08</x:v>
      </x:c>
      <x:c r="B573" s="2" t="str">
        <x:v>S11</x:v>
      </x:c>
      <x:c r="C573" s="2" t="str">
        <x:v>gpt_connected</x:v>
      </x:c>
      <x:c r="D573" s="2" t="n">
        <x:v>3</x:v>
      </x:c>
      <x:c r="E573" s="8"/>
      <x:c r="F573" s="8"/>
      <x:c r="G573" s="9"/>
      <x:c r="H573" s="9"/>
      <x:c r="I573" s="8"/>
      <x:c r="J573" s="8"/>
      <x:c r="K573" s="2" t="str">
        <x:f>IF(OR(E573="",F573="",G573="",H573="",I573="",J573=""),"",IF(E573="Harness blocked","BLOCKED",IF(AND(E573="Present",F573="Supplied"),1,IF(OR(E573="Missing",E573="Not reached"),0,"CHECK"))))</x:f>
      </x:c>
      <x:c r="L573" s="2" t="str">
        <x:f>IF(ISNUMBER(K573),IF(AND(K573=1,I573="No"),1,0),K573)</x:f>
      </x:c>
      <x:c r="M573" s="2" t="n">
        <x:f>IF(ISNUMBER(K573),1,0)</x:f>
        <x:v>0</x:v>
      </x:c>
    </x:row>
    <x:row r="574" ht="24" customHeight="1">
      <x:c r="A574" s="2" t="str">
        <x:v>S12.01</x:v>
      </x:c>
      <x:c r="B574" s="2" t="str">
        <x:v>S12</x:v>
      </x:c>
      <x:c r="C574" s="2" t="str">
        <x:v>gpt_connected</x:v>
      </x:c>
      <x:c r="D574" s="2" t="n">
        <x:v>3</x:v>
      </x:c>
      <x:c r="E574" s="8"/>
      <x:c r="F574" s="8"/>
      <x:c r="G574" s="9"/>
      <x:c r="H574" s="9"/>
      <x:c r="I574" s="8"/>
      <x:c r="J574" s="8"/>
      <x:c r="K574" s="2" t="str">
        <x:f>IF(OR(E574="",F574="",G574="",H574="",I574="",J574=""),"",IF(E574="Harness blocked","BLOCKED",IF(AND(E574="Present",F574="Supplied"),1,IF(OR(E574="Missing",E574="Not reached"),0,"CHECK"))))</x:f>
      </x:c>
      <x:c r="L574" s="2" t="str">
        <x:f>IF(ISNUMBER(K574),IF(AND(K574=1,I574="No"),1,0),K574)</x:f>
      </x:c>
      <x:c r="M574" s="2" t="n">
        <x:f>IF(ISNUMBER(K574),1,0)</x:f>
        <x:v>0</x:v>
      </x:c>
    </x:row>
    <x:row r="575" ht="24" customHeight="1">
      <x:c r="A575" s="2" t="str">
        <x:v>S12.02</x:v>
      </x:c>
      <x:c r="B575" s="2" t="str">
        <x:v>S12</x:v>
      </x:c>
      <x:c r="C575" s="2" t="str">
        <x:v>gpt_connected</x:v>
      </x:c>
      <x:c r="D575" s="2" t="n">
        <x:v>3</x:v>
      </x:c>
      <x:c r="E575" s="8"/>
      <x:c r="F575" s="8"/>
      <x:c r="G575" s="9"/>
      <x:c r="H575" s="9"/>
      <x:c r="I575" s="8"/>
      <x:c r="J575" s="8"/>
      <x:c r="K575" s="2" t="str">
        <x:f>IF(OR(E575="",F575="",G575="",H575="",I575="",J575=""),"",IF(E575="Harness blocked","BLOCKED",IF(AND(E575="Present",F575="Supplied"),1,IF(OR(E575="Missing",E575="Not reached"),0,"CHECK"))))</x:f>
      </x:c>
      <x:c r="L575" s="2" t="str">
        <x:f>IF(ISNUMBER(K575),IF(AND(K575=1,I575="No"),1,0),K575)</x:f>
      </x:c>
      <x:c r="M575" s="2" t="n">
        <x:f>IF(ISNUMBER(K575),1,0)</x:f>
        <x:v>0</x:v>
      </x:c>
    </x:row>
    <x:row r="576" ht="24" customHeight="1">
      <x:c r="A576" s="2" t="str">
        <x:v>S12.03</x:v>
      </x:c>
      <x:c r="B576" s="2" t="str">
        <x:v>S12</x:v>
      </x:c>
      <x:c r="C576" s="2" t="str">
        <x:v>gpt_connected</x:v>
      </x:c>
      <x:c r="D576" s="2" t="n">
        <x:v>3</x:v>
      </x:c>
      <x:c r="E576" s="8"/>
      <x:c r="F576" s="8"/>
      <x:c r="G576" s="9"/>
      <x:c r="H576" s="9"/>
      <x:c r="I576" s="8"/>
      <x:c r="J576" s="8"/>
      <x:c r="K576" s="2" t="str">
        <x:f>IF(OR(E576="",F576="",G576="",H576="",I576="",J576=""),"",IF(E576="Harness blocked","BLOCKED",IF(AND(E576="Present",F576="Supplied"),1,IF(OR(E576="Missing",E576="Not reached"),0,"CHECK"))))</x:f>
      </x:c>
      <x:c r="L576" s="2" t="str">
        <x:f>IF(ISNUMBER(K576),IF(AND(K576=1,I576="No"),1,0),K576)</x:f>
      </x:c>
      <x:c r="M576" s="2" t="n">
        <x:f>IF(ISNUMBER(K576),1,0)</x:f>
        <x:v>0</x:v>
      </x:c>
    </x:row>
    <x:row r="577" ht="24" customHeight="1">
      <x:c r="A577" s="2" t="str">
        <x:v>S12.04</x:v>
      </x:c>
      <x:c r="B577" s="2" t="str">
        <x:v>S12</x:v>
      </x:c>
      <x:c r="C577" s="2" t="str">
        <x:v>gpt_connected</x:v>
      </x:c>
      <x:c r="D577" s="2" t="n">
        <x:v>3</x:v>
      </x:c>
      <x:c r="E577" s="8"/>
      <x:c r="F577" s="8"/>
      <x:c r="G577" s="9"/>
      <x:c r="H577" s="9"/>
      <x:c r="I577" s="8"/>
      <x:c r="J577" s="8"/>
      <x:c r="K577" s="2" t="str">
        <x:f>IF(OR(E577="",F577="",G577="",H577="",I577="",J577=""),"",IF(E577="Harness blocked","BLOCKED",IF(AND(E577="Present",F577="Supplied"),1,IF(OR(E577="Missing",E577="Not reached"),0,"CHECK"))))</x:f>
      </x:c>
      <x:c r="L577" s="2" t="str">
        <x:f>IF(ISNUMBER(K577),IF(AND(K577=1,I577="No"),1,0),K577)</x:f>
      </x:c>
      <x:c r="M577" s="2" t="n">
        <x:f>IF(ISNUMBER(K577),1,0)</x:f>
        <x:v>0</x:v>
      </x:c>
    </x:row>
    <x:row r="578" ht="24" customHeight="1">
      <x:c r="A578" s="2" t="str">
        <x:v>S12.05</x:v>
      </x:c>
      <x:c r="B578" s="2" t="str">
        <x:v>S12</x:v>
      </x:c>
      <x:c r="C578" s="2" t="str">
        <x:v>gpt_connected</x:v>
      </x:c>
      <x:c r="D578" s="2" t="n">
        <x:v>3</x:v>
      </x:c>
      <x:c r="E578" s="8"/>
      <x:c r="F578" s="8"/>
      <x:c r="G578" s="9"/>
      <x:c r="H578" s="9"/>
      <x:c r="I578" s="8"/>
      <x:c r="J578" s="8"/>
      <x:c r="K578" s="2" t="str">
        <x:f>IF(OR(E578="",F578="",G578="",H578="",I578="",J578=""),"",IF(E578="Harness blocked","BLOCKED",IF(AND(E578="Present",F578="Supplied"),1,IF(OR(E578="Missing",E578="Not reached"),0,"CHECK"))))</x:f>
      </x:c>
      <x:c r="L578" s="2" t="str">
        <x:f>IF(ISNUMBER(K578),IF(AND(K578=1,I578="No"),1,0),K578)</x:f>
      </x:c>
      <x:c r="M578" s="2" t="n">
        <x:f>IF(ISNUMBER(K578),1,0)</x:f>
        <x:v>0</x:v>
      </x:c>
    </x:row>
    <x:row r="579" ht="24" customHeight="1">
      <x:c r="A579" s="2" t="str">
        <x:v>S12.06</x:v>
      </x:c>
      <x:c r="B579" s="2" t="str">
        <x:v>S12</x:v>
      </x:c>
      <x:c r="C579" s="2" t="str">
        <x:v>gpt_connected</x:v>
      </x:c>
      <x:c r="D579" s="2" t="n">
        <x:v>3</x:v>
      </x:c>
      <x:c r="E579" s="8"/>
      <x:c r="F579" s="8"/>
      <x:c r="G579" s="9"/>
      <x:c r="H579" s="9"/>
      <x:c r="I579" s="8"/>
      <x:c r="J579" s="8"/>
      <x:c r="K579" s="2" t="str">
        <x:f>IF(OR(E579="",F579="",G579="",H579="",I579="",J579=""),"",IF(E579="Harness blocked","BLOCKED",IF(AND(E579="Present",F579="Supplied"),1,IF(OR(E579="Missing",E579="Not reached"),0,"CHECK"))))</x:f>
      </x:c>
      <x:c r="L579" s="2" t="str">
        <x:f>IF(ISNUMBER(K579),IF(AND(K579=1,I579="No"),1,0),K579)</x:f>
      </x:c>
      <x:c r="M579" s="2" t="n">
        <x:f>IF(ISNUMBER(K579),1,0)</x:f>
        <x:v>0</x:v>
      </x:c>
    </x:row>
    <x:row r="580" ht="24" customHeight="1">
      <x:c r="A580" s="2" t="str">
        <x:v>S12.07</x:v>
      </x:c>
      <x:c r="B580" s="2" t="str">
        <x:v>S12</x:v>
      </x:c>
      <x:c r="C580" s="2" t="str">
        <x:v>gpt_connected</x:v>
      </x:c>
      <x:c r="D580" s="2" t="n">
        <x:v>3</x:v>
      </x:c>
      <x:c r="E580" s="8"/>
      <x:c r="F580" s="8"/>
      <x:c r="G580" s="9"/>
      <x:c r="H580" s="9"/>
      <x:c r="I580" s="8"/>
      <x:c r="J580" s="8"/>
      <x:c r="K580" s="2" t="str">
        <x:f>IF(OR(E580="",F580="",G580="",H580="",I580="",J580=""),"",IF(E580="Harness blocked","BLOCKED",IF(AND(E580="Present",F580="Supplied"),1,IF(OR(E580="Missing",E580="Not reached"),0,"CHECK"))))</x:f>
      </x:c>
      <x:c r="L580" s="2" t="str">
        <x:f>IF(ISNUMBER(K580),IF(AND(K580=1,I580="No"),1,0),K580)</x:f>
      </x:c>
      <x:c r="M580" s="2" t="n">
        <x:f>IF(ISNUMBER(K580),1,0)</x:f>
        <x:v>0</x:v>
      </x:c>
    </x:row>
    <x:row r="581" ht="24" customHeight="1">
      <x:c r="A581" s="2" t="str">
        <x:v>S12.08</x:v>
      </x:c>
      <x:c r="B581" s="2" t="str">
        <x:v>S12</x:v>
      </x:c>
      <x:c r="C581" s="2" t="str">
        <x:v>gpt_connected</x:v>
      </x:c>
      <x:c r="D581" s="2" t="n">
        <x:v>3</x:v>
      </x:c>
      <x:c r="E581" s="8"/>
      <x:c r="F581" s="8"/>
      <x:c r="G581" s="9"/>
      <x:c r="H581" s="9"/>
      <x:c r="I581" s="8"/>
      <x:c r="J581" s="8"/>
      <x:c r="K581" s="2" t="str">
        <x:f>IF(OR(E581="",F581="",G581="",H581="",I581="",J581=""),"",IF(E581="Harness blocked","BLOCKED",IF(AND(E581="Present",F581="Supplied"),1,IF(OR(E581="Missing",E581="Not reached"),0,"CHECK"))))</x:f>
      </x:c>
      <x:c r="L581" s="2" t="str">
        <x:f>IF(ISNUMBER(K581),IF(AND(K581=1,I581="No"),1,0),K581)</x:f>
      </x:c>
      <x:c r="M581" s="2" t="n">
        <x:f>IF(ISNUMBER(K581),1,0)</x:f>
        <x:v>0</x:v>
      </x:c>
    </x:row>
    <x:row r="582" ht="24" customHeight="1">
      <x:c r="A582" s="2" t="str">
        <x:v>S01.01</x:v>
      </x:c>
      <x:c r="B582" s="2" t="str">
        <x:v>S01</x:v>
      </x:c>
      <x:c r="C582" s="2" t="str">
        <x:v>qwen_clean</x:v>
      </x:c>
      <x:c r="D582" s="2" t="n">
        <x:v>1</x:v>
      </x:c>
      <x:c r="E582" s="8"/>
      <x:c r="F582" s="8"/>
      <x:c r="G582" s="9"/>
      <x:c r="H582" s="9"/>
      <x:c r="I582" s="8"/>
      <x:c r="J582" s="8"/>
      <x:c r="K582" s="2" t="str">
        <x:f>IF(OR(E582="",F582="",G582="",H582="",I582="",J582=""),"",IF(E582="Harness blocked","BLOCKED",IF(AND(E582="Present",F582="Supplied"),1,IF(OR(E582="Missing",E582="Not reached"),0,"CHECK"))))</x:f>
      </x:c>
      <x:c r="L582" s="2" t="str">
        <x:f>IF(ISNUMBER(K582),IF(AND(K582=1,I582="No"),1,0),K582)</x:f>
      </x:c>
      <x:c r="M582" s="2" t="n">
        <x:f>IF(ISNUMBER(K582),1,0)</x:f>
        <x:v>0</x:v>
      </x:c>
    </x:row>
    <x:row r="583" ht="24" customHeight="1">
      <x:c r="A583" s="2" t="str">
        <x:v>S01.02</x:v>
      </x:c>
      <x:c r="B583" s="2" t="str">
        <x:v>S01</x:v>
      </x:c>
      <x:c r="C583" s="2" t="str">
        <x:v>qwen_clean</x:v>
      </x:c>
      <x:c r="D583" s="2" t="n">
        <x:v>1</x:v>
      </x:c>
      <x:c r="E583" s="8"/>
      <x:c r="F583" s="8"/>
      <x:c r="G583" s="9"/>
      <x:c r="H583" s="9"/>
      <x:c r="I583" s="8"/>
      <x:c r="J583" s="8"/>
      <x:c r="K583" s="2" t="str">
        <x:f>IF(OR(E583="",F583="",G583="",H583="",I583="",J583=""),"",IF(E583="Harness blocked","BLOCKED",IF(AND(E583="Present",F583="Supplied"),1,IF(OR(E583="Missing",E583="Not reached"),0,"CHECK"))))</x:f>
      </x:c>
      <x:c r="L583" s="2" t="str">
        <x:f>IF(ISNUMBER(K583),IF(AND(K583=1,I583="No"),1,0),K583)</x:f>
      </x:c>
      <x:c r="M583" s="2" t="n">
        <x:f>IF(ISNUMBER(K583),1,0)</x:f>
        <x:v>0</x:v>
      </x:c>
    </x:row>
    <x:row r="584" ht="24" customHeight="1">
      <x:c r="A584" s="2" t="str">
        <x:v>S01.03</x:v>
      </x:c>
      <x:c r="B584" s="2" t="str">
        <x:v>S01</x:v>
      </x:c>
      <x:c r="C584" s="2" t="str">
        <x:v>qwen_clean</x:v>
      </x:c>
      <x:c r="D584" s="2" t="n">
        <x:v>1</x:v>
      </x:c>
      <x:c r="E584" s="8"/>
      <x:c r="F584" s="8"/>
      <x:c r="G584" s="9"/>
      <x:c r="H584" s="9"/>
      <x:c r="I584" s="8"/>
      <x:c r="J584" s="8"/>
      <x:c r="K584" s="2" t="str">
        <x:f>IF(OR(E584="",F584="",G584="",H584="",I584="",J584=""),"",IF(E584="Harness blocked","BLOCKED",IF(AND(E584="Present",F584="Supplied"),1,IF(OR(E584="Missing",E584="Not reached"),0,"CHECK"))))</x:f>
      </x:c>
      <x:c r="L584" s="2" t="str">
        <x:f>IF(ISNUMBER(K584),IF(AND(K584=1,I584="No"),1,0),K584)</x:f>
      </x:c>
      <x:c r="M584" s="2" t="n">
        <x:f>IF(ISNUMBER(K584),1,0)</x:f>
        <x:v>0</x:v>
      </x:c>
    </x:row>
    <x:row r="585" ht="24" customHeight="1">
      <x:c r="A585" s="2" t="str">
        <x:v>S01.04</x:v>
      </x:c>
      <x:c r="B585" s="2" t="str">
        <x:v>S01</x:v>
      </x:c>
      <x:c r="C585" s="2" t="str">
        <x:v>qwen_clean</x:v>
      </x:c>
      <x:c r="D585" s="2" t="n">
        <x:v>1</x:v>
      </x:c>
      <x:c r="E585" s="8"/>
      <x:c r="F585" s="8"/>
      <x:c r="G585" s="9"/>
      <x:c r="H585" s="9"/>
      <x:c r="I585" s="8"/>
      <x:c r="J585" s="8"/>
      <x:c r="K585" s="2" t="str">
        <x:f>IF(OR(E585="",F585="",G585="",H585="",I585="",J585=""),"",IF(E585="Harness blocked","BLOCKED",IF(AND(E585="Present",F585="Supplied"),1,IF(OR(E585="Missing",E585="Not reached"),0,"CHECK"))))</x:f>
      </x:c>
      <x:c r="L585" s="2" t="str">
        <x:f>IF(ISNUMBER(K585),IF(AND(K585=1,I585="No"),1,0),K585)</x:f>
      </x:c>
      <x:c r="M585" s="2" t="n">
        <x:f>IF(ISNUMBER(K585),1,0)</x:f>
        <x:v>0</x:v>
      </x:c>
    </x:row>
    <x:row r="586" ht="24" customHeight="1">
      <x:c r="A586" s="2" t="str">
        <x:v>S01.05</x:v>
      </x:c>
      <x:c r="B586" s="2" t="str">
        <x:v>S01</x:v>
      </x:c>
      <x:c r="C586" s="2" t="str">
        <x:v>qwen_clean</x:v>
      </x:c>
      <x:c r="D586" s="2" t="n">
        <x:v>1</x:v>
      </x:c>
      <x:c r="E586" s="8"/>
      <x:c r="F586" s="8"/>
      <x:c r="G586" s="9"/>
      <x:c r="H586" s="9"/>
      <x:c r="I586" s="8"/>
      <x:c r="J586" s="8"/>
      <x:c r="K586" s="2" t="str">
        <x:f>IF(OR(E586="",F586="",G586="",H586="",I586="",J586=""),"",IF(E586="Harness blocked","BLOCKED",IF(AND(E586="Present",F586="Supplied"),1,IF(OR(E586="Missing",E586="Not reached"),0,"CHECK"))))</x:f>
      </x:c>
      <x:c r="L586" s="2" t="str">
        <x:f>IF(ISNUMBER(K586),IF(AND(K586=1,I586="No"),1,0),K586)</x:f>
      </x:c>
      <x:c r="M586" s="2" t="n">
        <x:f>IF(ISNUMBER(K586),1,0)</x:f>
        <x:v>0</x:v>
      </x:c>
    </x:row>
    <x:row r="587" ht="24" customHeight="1">
      <x:c r="A587" s="2" t="str">
        <x:v>S01.06</x:v>
      </x:c>
      <x:c r="B587" s="2" t="str">
        <x:v>S01</x:v>
      </x:c>
      <x:c r="C587" s="2" t="str">
        <x:v>qwen_clean</x:v>
      </x:c>
      <x:c r="D587" s="2" t="n">
        <x:v>1</x:v>
      </x:c>
      <x:c r="E587" s="8"/>
      <x:c r="F587" s="8"/>
      <x:c r="G587" s="9"/>
      <x:c r="H587" s="9"/>
      <x:c r="I587" s="8"/>
      <x:c r="J587" s="8"/>
      <x:c r="K587" s="2" t="str">
        <x:f>IF(OR(E587="",F587="",G587="",H587="",I587="",J587=""),"",IF(E587="Harness blocked","BLOCKED",IF(AND(E587="Present",F587="Supplied"),1,IF(OR(E587="Missing",E587="Not reached"),0,"CHECK"))))</x:f>
      </x:c>
      <x:c r="L587" s="2" t="str">
        <x:f>IF(ISNUMBER(K587),IF(AND(K587=1,I587="No"),1,0),K587)</x:f>
      </x:c>
      <x:c r="M587" s="2" t="n">
        <x:f>IF(ISNUMBER(K587),1,0)</x:f>
        <x:v>0</x:v>
      </x:c>
    </x:row>
    <x:row r="588" ht="24" customHeight="1">
      <x:c r="A588" s="2" t="str">
        <x:v>S01.07</x:v>
      </x:c>
      <x:c r="B588" s="2" t="str">
        <x:v>S01</x:v>
      </x:c>
      <x:c r="C588" s="2" t="str">
        <x:v>qwen_clean</x:v>
      </x:c>
      <x:c r="D588" s="2" t="n">
        <x:v>1</x:v>
      </x:c>
      <x:c r="E588" s="8"/>
      <x:c r="F588" s="8"/>
      <x:c r="G588" s="9"/>
      <x:c r="H588" s="9"/>
      <x:c r="I588" s="8"/>
      <x:c r="J588" s="8"/>
      <x:c r="K588" s="2" t="str">
        <x:f>IF(OR(E588="",F588="",G588="",H588="",I588="",J588=""),"",IF(E588="Harness blocked","BLOCKED",IF(AND(E588="Present",F588="Supplied"),1,IF(OR(E588="Missing",E588="Not reached"),0,"CHECK"))))</x:f>
      </x:c>
      <x:c r="L588" s="2" t="str">
        <x:f>IF(ISNUMBER(K588),IF(AND(K588=1,I588="No"),1,0),K588)</x:f>
      </x:c>
      <x:c r="M588" s="2" t="n">
        <x:f>IF(ISNUMBER(K588),1,0)</x:f>
        <x:v>0</x:v>
      </x:c>
    </x:row>
    <x:row r="589" ht="24" customHeight="1">
      <x:c r="A589" s="2" t="str">
        <x:v>S01.08</x:v>
      </x:c>
      <x:c r="B589" s="2" t="str">
        <x:v>S01</x:v>
      </x:c>
      <x:c r="C589" s="2" t="str">
        <x:v>qwen_clean</x:v>
      </x:c>
      <x:c r="D589" s="2" t="n">
        <x:v>1</x:v>
      </x:c>
      <x:c r="E589" s="8"/>
      <x:c r="F589" s="8"/>
      <x:c r="G589" s="9"/>
      <x:c r="H589" s="9"/>
      <x:c r="I589" s="8"/>
      <x:c r="J589" s="8"/>
      <x:c r="K589" s="2" t="str">
        <x:f>IF(OR(E589="",F589="",G589="",H589="",I589="",J589=""),"",IF(E589="Harness blocked","BLOCKED",IF(AND(E589="Present",F589="Supplied"),1,IF(OR(E589="Missing",E589="Not reached"),0,"CHECK"))))</x:f>
      </x:c>
      <x:c r="L589" s="2" t="str">
        <x:f>IF(ISNUMBER(K589),IF(AND(K589=1,I589="No"),1,0),K589)</x:f>
      </x:c>
      <x:c r="M589" s="2" t="n">
        <x:f>IF(ISNUMBER(K589),1,0)</x:f>
        <x:v>0</x:v>
      </x:c>
    </x:row>
    <x:row r="590" ht="24" customHeight="1">
      <x:c r="A590" s="2" t="str">
        <x:v>S02.01</x:v>
      </x:c>
      <x:c r="B590" s="2" t="str">
        <x:v>S02</x:v>
      </x:c>
      <x:c r="C590" s="2" t="str">
        <x:v>qwen_clean</x:v>
      </x:c>
      <x:c r="D590" s="2" t="n">
        <x:v>1</x:v>
      </x:c>
      <x:c r="E590" s="8"/>
      <x:c r="F590" s="8"/>
      <x:c r="G590" s="9"/>
      <x:c r="H590" s="9"/>
      <x:c r="I590" s="8"/>
      <x:c r="J590" s="8"/>
      <x:c r="K590" s="2" t="str">
        <x:f>IF(OR(E590="",F590="",G590="",H590="",I590="",J590=""),"",IF(E590="Harness blocked","BLOCKED",IF(AND(E590="Present",F590="Supplied"),1,IF(OR(E590="Missing",E590="Not reached"),0,"CHECK"))))</x:f>
      </x:c>
      <x:c r="L590" s="2" t="str">
        <x:f>IF(ISNUMBER(K590),IF(AND(K590=1,I590="No"),1,0),K590)</x:f>
      </x:c>
      <x:c r="M590" s="2" t="n">
        <x:f>IF(ISNUMBER(K590),1,0)</x:f>
        <x:v>0</x:v>
      </x:c>
    </x:row>
    <x:row r="591" ht="24" customHeight="1">
      <x:c r="A591" s="2" t="str">
        <x:v>S02.02</x:v>
      </x:c>
      <x:c r="B591" s="2" t="str">
        <x:v>S02</x:v>
      </x:c>
      <x:c r="C591" s="2" t="str">
        <x:v>qwen_clean</x:v>
      </x:c>
      <x:c r="D591" s="2" t="n">
        <x:v>1</x:v>
      </x:c>
      <x:c r="E591" s="8"/>
      <x:c r="F591" s="8"/>
      <x:c r="G591" s="9"/>
      <x:c r="H591" s="9"/>
      <x:c r="I591" s="8"/>
      <x:c r="J591" s="8"/>
      <x:c r="K591" s="2" t="str">
        <x:f>IF(OR(E591="",F591="",G591="",H591="",I591="",J591=""),"",IF(E591="Harness blocked","BLOCKED",IF(AND(E591="Present",F591="Supplied"),1,IF(OR(E591="Missing",E591="Not reached"),0,"CHECK"))))</x:f>
      </x:c>
      <x:c r="L591" s="2" t="str">
        <x:f>IF(ISNUMBER(K591),IF(AND(K591=1,I591="No"),1,0),K591)</x:f>
      </x:c>
      <x:c r="M591" s="2" t="n">
        <x:f>IF(ISNUMBER(K591),1,0)</x:f>
        <x:v>0</x:v>
      </x:c>
    </x:row>
    <x:row r="592" ht="24" customHeight="1">
      <x:c r="A592" s="2" t="str">
        <x:v>S02.03</x:v>
      </x:c>
      <x:c r="B592" s="2" t="str">
        <x:v>S02</x:v>
      </x:c>
      <x:c r="C592" s="2" t="str">
        <x:v>qwen_clean</x:v>
      </x:c>
      <x:c r="D592" s="2" t="n">
        <x:v>1</x:v>
      </x:c>
      <x:c r="E592" s="8"/>
      <x:c r="F592" s="8"/>
      <x:c r="G592" s="9"/>
      <x:c r="H592" s="9"/>
      <x:c r="I592" s="8"/>
      <x:c r="J592" s="8"/>
      <x:c r="K592" s="2" t="str">
        <x:f>IF(OR(E592="",F592="",G592="",H592="",I592="",J592=""),"",IF(E592="Harness blocked","BLOCKED",IF(AND(E592="Present",F592="Supplied"),1,IF(OR(E592="Missing",E592="Not reached"),0,"CHECK"))))</x:f>
      </x:c>
      <x:c r="L592" s="2" t="str">
        <x:f>IF(ISNUMBER(K592),IF(AND(K592=1,I592="No"),1,0),K592)</x:f>
      </x:c>
      <x:c r="M592" s="2" t="n">
        <x:f>IF(ISNUMBER(K592),1,0)</x:f>
        <x:v>0</x:v>
      </x:c>
    </x:row>
    <x:row r="593" ht="24" customHeight="1">
      <x:c r="A593" s="2" t="str">
        <x:v>S02.04</x:v>
      </x:c>
      <x:c r="B593" s="2" t="str">
        <x:v>S02</x:v>
      </x:c>
      <x:c r="C593" s="2" t="str">
        <x:v>qwen_clean</x:v>
      </x:c>
      <x:c r="D593" s="2" t="n">
        <x:v>1</x:v>
      </x:c>
      <x:c r="E593" s="8"/>
      <x:c r="F593" s="8"/>
      <x:c r="G593" s="9"/>
      <x:c r="H593" s="9"/>
      <x:c r="I593" s="8"/>
      <x:c r="J593" s="8"/>
      <x:c r="K593" s="2" t="str">
        <x:f>IF(OR(E593="",F593="",G593="",H593="",I593="",J593=""),"",IF(E593="Harness blocked","BLOCKED",IF(AND(E593="Present",F593="Supplied"),1,IF(OR(E593="Missing",E593="Not reached"),0,"CHECK"))))</x:f>
      </x:c>
      <x:c r="L593" s="2" t="str">
        <x:f>IF(ISNUMBER(K593),IF(AND(K593=1,I593="No"),1,0),K593)</x:f>
      </x:c>
      <x:c r="M593" s="2" t="n">
        <x:f>IF(ISNUMBER(K593),1,0)</x:f>
        <x:v>0</x:v>
      </x:c>
    </x:row>
    <x:row r="594" ht="24" customHeight="1">
      <x:c r="A594" s="2" t="str">
        <x:v>S02.05</x:v>
      </x:c>
      <x:c r="B594" s="2" t="str">
        <x:v>S02</x:v>
      </x:c>
      <x:c r="C594" s="2" t="str">
        <x:v>qwen_clean</x:v>
      </x:c>
      <x:c r="D594" s="2" t="n">
        <x:v>1</x:v>
      </x:c>
      <x:c r="E594" s="8"/>
      <x:c r="F594" s="8"/>
      <x:c r="G594" s="9"/>
      <x:c r="H594" s="9"/>
      <x:c r="I594" s="8"/>
      <x:c r="J594" s="8"/>
      <x:c r="K594" s="2" t="str">
        <x:f>IF(OR(E594="",F594="",G594="",H594="",I594="",J594=""),"",IF(E594="Harness blocked","BLOCKED",IF(AND(E594="Present",F594="Supplied"),1,IF(OR(E594="Missing",E594="Not reached"),0,"CHECK"))))</x:f>
      </x:c>
      <x:c r="L594" s="2" t="str">
        <x:f>IF(ISNUMBER(K594),IF(AND(K594=1,I594="No"),1,0),K594)</x:f>
      </x:c>
      <x:c r="M594" s="2" t="n">
        <x:f>IF(ISNUMBER(K594),1,0)</x:f>
        <x:v>0</x:v>
      </x:c>
    </x:row>
    <x:row r="595" ht="24" customHeight="1">
      <x:c r="A595" s="2" t="str">
        <x:v>S02.06</x:v>
      </x:c>
      <x:c r="B595" s="2" t="str">
        <x:v>S02</x:v>
      </x:c>
      <x:c r="C595" s="2" t="str">
        <x:v>qwen_clean</x:v>
      </x:c>
      <x:c r="D595" s="2" t="n">
        <x:v>1</x:v>
      </x:c>
      <x:c r="E595" s="8"/>
      <x:c r="F595" s="8"/>
      <x:c r="G595" s="9"/>
      <x:c r="H595" s="9"/>
      <x:c r="I595" s="8"/>
      <x:c r="J595" s="8"/>
      <x:c r="K595" s="2" t="str">
        <x:f>IF(OR(E595="",F595="",G595="",H595="",I595="",J595=""),"",IF(E595="Harness blocked","BLOCKED",IF(AND(E595="Present",F595="Supplied"),1,IF(OR(E595="Missing",E595="Not reached"),0,"CHECK"))))</x:f>
      </x:c>
      <x:c r="L595" s="2" t="str">
        <x:f>IF(ISNUMBER(K595),IF(AND(K595=1,I595="No"),1,0),K595)</x:f>
      </x:c>
      <x:c r="M595" s="2" t="n">
        <x:f>IF(ISNUMBER(K595),1,0)</x:f>
        <x:v>0</x:v>
      </x:c>
    </x:row>
    <x:row r="596" ht="24" customHeight="1">
      <x:c r="A596" s="2" t="str">
        <x:v>S02.07</x:v>
      </x:c>
      <x:c r="B596" s="2" t="str">
        <x:v>S02</x:v>
      </x:c>
      <x:c r="C596" s="2" t="str">
        <x:v>qwen_clean</x:v>
      </x:c>
      <x:c r="D596" s="2" t="n">
        <x:v>1</x:v>
      </x:c>
      <x:c r="E596" s="8"/>
      <x:c r="F596" s="8"/>
      <x:c r="G596" s="9"/>
      <x:c r="H596" s="9"/>
      <x:c r="I596" s="8"/>
      <x:c r="J596" s="8"/>
      <x:c r="K596" s="2" t="str">
        <x:f>IF(OR(E596="",F596="",G596="",H596="",I596="",J596=""),"",IF(E596="Harness blocked","BLOCKED",IF(AND(E596="Present",F596="Supplied"),1,IF(OR(E596="Missing",E596="Not reached"),0,"CHECK"))))</x:f>
      </x:c>
      <x:c r="L596" s="2" t="str">
        <x:f>IF(ISNUMBER(K596),IF(AND(K596=1,I596="No"),1,0),K596)</x:f>
      </x:c>
      <x:c r="M596" s="2" t="n">
        <x:f>IF(ISNUMBER(K596),1,0)</x:f>
        <x:v>0</x:v>
      </x:c>
    </x:row>
    <x:row r="597" ht="24" customHeight="1">
      <x:c r="A597" s="2" t="str">
        <x:v>S02.08</x:v>
      </x:c>
      <x:c r="B597" s="2" t="str">
        <x:v>S02</x:v>
      </x:c>
      <x:c r="C597" s="2" t="str">
        <x:v>qwen_clean</x:v>
      </x:c>
      <x:c r="D597" s="2" t="n">
        <x:v>1</x:v>
      </x:c>
      <x:c r="E597" s="8"/>
      <x:c r="F597" s="8"/>
      <x:c r="G597" s="9"/>
      <x:c r="H597" s="9"/>
      <x:c r="I597" s="8"/>
      <x:c r="J597" s="8"/>
      <x:c r="K597" s="2" t="str">
        <x:f>IF(OR(E597="",F597="",G597="",H597="",I597="",J597=""),"",IF(E597="Harness blocked","BLOCKED",IF(AND(E597="Present",F597="Supplied"),1,IF(OR(E597="Missing",E597="Not reached"),0,"CHECK"))))</x:f>
      </x:c>
      <x:c r="L597" s="2" t="str">
        <x:f>IF(ISNUMBER(K597),IF(AND(K597=1,I597="No"),1,0),K597)</x:f>
      </x:c>
      <x:c r="M597" s="2" t="n">
        <x:f>IF(ISNUMBER(K597),1,0)</x:f>
        <x:v>0</x:v>
      </x:c>
    </x:row>
    <x:row r="598" ht="24" customHeight="1">
      <x:c r="A598" s="2" t="str">
        <x:v>S03.01</x:v>
      </x:c>
      <x:c r="B598" s="2" t="str">
        <x:v>S03</x:v>
      </x:c>
      <x:c r="C598" s="2" t="str">
        <x:v>qwen_clean</x:v>
      </x:c>
      <x:c r="D598" s="2" t="n">
        <x:v>1</x:v>
      </x:c>
      <x:c r="E598" s="8"/>
      <x:c r="F598" s="8"/>
      <x:c r="G598" s="9"/>
      <x:c r="H598" s="9"/>
      <x:c r="I598" s="8"/>
      <x:c r="J598" s="8"/>
      <x:c r="K598" s="2" t="str">
        <x:f>IF(OR(E598="",F598="",G598="",H598="",I598="",J598=""),"",IF(E598="Harness blocked","BLOCKED",IF(AND(E598="Present",F598="Supplied"),1,IF(OR(E598="Missing",E598="Not reached"),0,"CHECK"))))</x:f>
      </x:c>
      <x:c r="L598" s="2" t="str">
        <x:f>IF(ISNUMBER(K598),IF(AND(K598=1,I598="No"),1,0),K598)</x:f>
      </x:c>
      <x:c r="M598" s="2" t="n">
        <x:f>IF(ISNUMBER(K598),1,0)</x:f>
        <x:v>0</x:v>
      </x:c>
    </x:row>
    <x:row r="599" ht="24" customHeight="1">
      <x:c r="A599" s="2" t="str">
        <x:v>S03.02</x:v>
      </x:c>
      <x:c r="B599" s="2" t="str">
        <x:v>S03</x:v>
      </x:c>
      <x:c r="C599" s="2" t="str">
        <x:v>qwen_clean</x:v>
      </x:c>
      <x:c r="D599" s="2" t="n">
        <x:v>1</x:v>
      </x:c>
      <x:c r="E599" s="8"/>
      <x:c r="F599" s="8"/>
      <x:c r="G599" s="9"/>
      <x:c r="H599" s="9"/>
      <x:c r="I599" s="8"/>
      <x:c r="J599" s="8"/>
      <x:c r="K599" s="2" t="str">
        <x:f>IF(OR(E599="",F599="",G599="",H599="",I599="",J599=""),"",IF(E599="Harness blocked","BLOCKED",IF(AND(E599="Present",F599="Supplied"),1,IF(OR(E599="Missing",E599="Not reached"),0,"CHECK"))))</x:f>
      </x:c>
      <x:c r="L599" s="2" t="str">
        <x:f>IF(ISNUMBER(K599),IF(AND(K599=1,I599="No"),1,0),K599)</x:f>
      </x:c>
      <x:c r="M599" s="2" t="n">
        <x:f>IF(ISNUMBER(K599),1,0)</x:f>
        <x:v>0</x:v>
      </x:c>
    </x:row>
    <x:row r="600" ht="24" customHeight="1">
      <x:c r="A600" s="2" t="str">
        <x:v>S03.03</x:v>
      </x:c>
      <x:c r="B600" s="2" t="str">
        <x:v>S03</x:v>
      </x:c>
      <x:c r="C600" s="2" t="str">
        <x:v>qwen_clean</x:v>
      </x:c>
      <x:c r="D600" s="2" t="n">
        <x:v>1</x:v>
      </x:c>
      <x:c r="E600" s="8"/>
      <x:c r="F600" s="8"/>
      <x:c r="G600" s="9"/>
      <x:c r="H600" s="9"/>
      <x:c r="I600" s="8"/>
      <x:c r="J600" s="8"/>
      <x:c r="K600" s="2" t="str">
        <x:f>IF(OR(E600="",F600="",G600="",H600="",I600="",J600=""),"",IF(E600="Harness blocked","BLOCKED",IF(AND(E600="Present",F600="Supplied"),1,IF(OR(E600="Missing",E600="Not reached"),0,"CHECK"))))</x:f>
      </x:c>
      <x:c r="L600" s="2" t="str">
        <x:f>IF(ISNUMBER(K600),IF(AND(K600=1,I600="No"),1,0),K600)</x:f>
      </x:c>
      <x:c r="M600" s="2" t="n">
        <x:f>IF(ISNUMBER(K600),1,0)</x:f>
        <x:v>0</x:v>
      </x:c>
    </x:row>
    <x:row r="601" ht="24" customHeight="1">
      <x:c r="A601" s="2" t="str">
        <x:v>S03.04</x:v>
      </x:c>
      <x:c r="B601" s="2" t="str">
        <x:v>S03</x:v>
      </x:c>
      <x:c r="C601" s="2" t="str">
        <x:v>qwen_clean</x:v>
      </x:c>
      <x:c r="D601" s="2" t="n">
        <x:v>1</x:v>
      </x:c>
      <x:c r="E601" s="8"/>
      <x:c r="F601" s="8"/>
      <x:c r="G601" s="9"/>
      <x:c r="H601" s="9"/>
      <x:c r="I601" s="8"/>
      <x:c r="J601" s="8"/>
      <x:c r="K601" s="2" t="str">
        <x:f>IF(OR(E601="",F601="",G601="",H601="",I601="",J601=""),"",IF(E601="Harness blocked","BLOCKED",IF(AND(E601="Present",F601="Supplied"),1,IF(OR(E601="Missing",E601="Not reached"),0,"CHECK"))))</x:f>
      </x:c>
      <x:c r="L601" s="2" t="str">
        <x:f>IF(ISNUMBER(K601),IF(AND(K601=1,I601="No"),1,0),K601)</x:f>
      </x:c>
      <x:c r="M601" s="2" t="n">
        <x:f>IF(ISNUMBER(K601),1,0)</x:f>
        <x:v>0</x:v>
      </x:c>
    </x:row>
    <x:row r="602" ht="24" customHeight="1">
      <x:c r="A602" s="2" t="str">
        <x:v>S03.05</x:v>
      </x:c>
      <x:c r="B602" s="2" t="str">
        <x:v>S03</x:v>
      </x:c>
      <x:c r="C602" s="2" t="str">
        <x:v>qwen_clean</x:v>
      </x:c>
      <x:c r="D602" s="2" t="n">
        <x:v>1</x:v>
      </x:c>
      <x:c r="E602" s="8"/>
      <x:c r="F602" s="8"/>
      <x:c r="G602" s="9"/>
      <x:c r="H602" s="9"/>
      <x:c r="I602" s="8"/>
      <x:c r="J602" s="8"/>
      <x:c r="K602" s="2" t="str">
        <x:f>IF(OR(E602="",F602="",G602="",H602="",I602="",J602=""),"",IF(E602="Harness blocked","BLOCKED",IF(AND(E602="Present",F602="Supplied"),1,IF(OR(E602="Missing",E602="Not reached"),0,"CHECK"))))</x:f>
      </x:c>
      <x:c r="L602" s="2" t="str">
        <x:f>IF(ISNUMBER(K602),IF(AND(K602=1,I602="No"),1,0),K602)</x:f>
      </x:c>
      <x:c r="M602" s="2" t="n">
        <x:f>IF(ISNUMBER(K602),1,0)</x:f>
        <x:v>0</x:v>
      </x:c>
    </x:row>
    <x:row r="603" ht="24" customHeight="1">
      <x:c r="A603" s="2" t="str">
        <x:v>S03.06</x:v>
      </x:c>
      <x:c r="B603" s="2" t="str">
        <x:v>S03</x:v>
      </x:c>
      <x:c r="C603" s="2" t="str">
        <x:v>qwen_clean</x:v>
      </x:c>
      <x:c r="D603" s="2" t="n">
        <x:v>1</x:v>
      </x:c>
      <x:c r="E603" s="8"/>
      <x:c r="F603" s="8"/>
      <x:c r="G603" s="9"/>
      <x:c r="H603" s="9"/>
      <x:c r="I603" s="8"/>
      <x:c r="J603" s="8"/>
      <x:c r="K603" s="2" t="str">
        <x:f>IF(OR(E603="",F603="",G603="",H603="",I603="",J603=""),"",IF(E603="Harness blocked","BLOCKED",IF(AND(E603="Present",F603="Supplied"),1,IF(OR(E603="Missing",E603="Not reached"),0,"CHECK"))))</x:f>
      </x:c>
      <x:c r="L603" s="2" t="str">
        <x:f>IF(ISNUMBER(K603),IF(AND(K603=1,I603="No"),1,0),K603)</x:f>
      </x:c>
      <x:c r="M603" s="2" t="n">
        <x:f>IF(ISNUMBER(K603),1,0)</x:f>
        <x:v>0</x:v>
      </x:c>
    </x:row>
    <x:row r="604" ht="24" customHeight="1">
      <x:c r="A604" s="2" t="str">
        <x:v>S03.07</x:v>
      </x:c>
      <x:c r="B604" s="2" t="str">
        <x:v>S03</x:v>
      </x:c>
      <x:c r="C604" s="2" t="str">
        <x:v>qwen_clean</x:v>
      </x:c>
      <x:c r="D604" s="2" t="n">
        <x:v>1</x:v>
      </x:c>
      <x:c r="E604" s="8"/>
      <x:c r="F604" s="8"/>
      <x:c r="G604" s="9"/>
      <x:c r="H604" s="9"/>
      <x:c r="I604" s="8"/>
      <x:c r="J604" s="8"/>
      <x:c r="K604" s="2" t="str">
        <x:f>IF(OR(E604="",F604="",G604="",H604="",I604="",J604=""),"",IF(E604="Harness blocked","BLOCKED",IF(AND(E604="Present",F604="Supplied"),1,IF(OR(E604="Missing",E604="Not reached"),0,"CHECK"))))</x:f>
      </x:c>
      <x:c r="L604" s="2" t="str">
        <x:f>IF(ISNUMBER(K604),IF(AND(K604=1,I604="No"),1,0),K604)</x:f>
      </x:c>
      <x:c r="M604" s="2" t="n">
        <x:f>IF(ISNUMBER(K604),1,0)</x:f>
        <x:v>0</x:v>
      </x:c>
    </x:row>
    <x:row r="605" ht="24" customHeight="1">
      <x:c r="A605" s="2" t="str">
        <x:v>S03.08</x:v>
      </x:c>
      <x:c r="B605" s="2" t="str">
        <x:v>S03</x:v>
      </x:c>
      <x:c r="C605" s="2" t="str">
        <x:v>qwen_clean</x:v>
      </x:c>
      <x:c r="D605" s="2" t="n">
        <x:v>1</x:v>
      </x:c>
      <x:c r="E605" s="8"/>
      <x:c r="F605" s="8"/>
      <x:c r="G605" s="9"/>
      <x:c r="H605" s="9"/>
      <x:c r="I605" s="8"/>
      <x:c r="J605" s="8"/>
      <x:c r="K605" s="2" t="str">
        <x:f>IF(OR(E605="",F605="",G605="",H605="",I605="",J605=""),"",IF(E605="Harness blocked","BLOCKED",IF(AND(E605="Present",F605="Supplied"),1,IF(OR(E605="Missing",E605="Not reached"),0,"CHECK"))))</x:f>
      </x:c>
      <x:c r="L605" s="2" t="str">
        <x:f>IF(ISNUMBER(K605),IF(AND(K605=1,I605="No"),1,0),K605)</x:f>
      </x:c>
      <x:c r="M605" s="2" t="n">
        <x:f>IF(ISNUMBER(K605),1,0)</x:f>
        <x:v>0</x:v>
      </x:c>
    </x:row>
    <x:row r="606" ht="24" customHeight="1">
      <x:c r="A606" s="2" t="str">
        <x:v>S04.01</x:v>
      </x:c>
      <x:c r="B606" s="2" t="str">
        <x:v>S04</x:v>
      </x:c>
      <x:c r="C606" s="2" t="str">
        <x:v>qwen_clean</x:v>
      </x:c>
      <x:c r="D606" s="2" t="n">
        <x:v>1</x:v>
      </x:c>
      <x:c r="E606" s="8"/>
      <x:c r="F606" s="8"/>
      <x:c r="G606" s="9"/>
      <x:c r="H606" s="9"/>
      <x:c r="I606" s="8"/>
      <x:c r="J606" s="8"/>
      <x:c r="K606" s="2" t="str">
        <x:f>IF(OR(E606="",F606="",G606="",H606="",I606="",J606=""),"",IF(E606="Harness blocked","BLOCKED",IF(AND(E606="Present",F606="Supplied"),1,IF(OR(E606="Missing",E606="Not reached"),0,"CHECK"))))</x:f>
      </x:c>
      <x:c r="L606" s="2" t="str">
        <x:f>IF(ISNUMBER(K606),IF(AND(K606=1,I606="No"),1,0),K606)</x:f>
      </x:c>
      <x:c r="M606" s="2" t="n">
        <x:f>IF(ISNUMBER(K606),1,0)</x:f>
        <x:v>0</x:v>
      </x:c>
    </x:row>
    <x:row r="607" ht="24" customHeight="1">
      <x:c r="A607" s="2" t="str">
        <x:v>S04.02</x:v>
      </x:c>
      <x:c r="B607" s="2" t="str">
        <x:v>S04</x:v>
      </x:c>
      <x:c r="C607" s="2" t="str">
        <x:v>qwen_clean</x:v>
      </x:c>
      <x:c r="D607" s="2" t="n">
        <x:v>1</x:v>
      </x:c>
      <x:c r="E607" s="8"/>
      <x:c r="F607" s="8"/>
      <x:c r="G607" s="9"/>
      <x:c r="H607" s="9"/>
      <x:c r="I607" s="8"/>
      <x:c r="J607" s="8"/>
      <x:c r="K607" s="2" t="str">
        <x:f>IF(OR(E607="",F607="",G607="",H607="",I607="",J607=""),"",IF(E607="Harness blocked","BLOCKED",IF(AND(E607="Present",F607="Supplied"),1,IF(OR(E607="Missing",E607="Not reached"),0,"CHECK"))))</x:f>
      </x:c>
      <x:c r="L607" s="2" t="str">
        <x:f>IF(ISNUMBER(K607),IF(AND(K607=1,I607="No"),1,0),K607)</x:f>
      </x:c>
      <x:c r="M607" s="2" t="n">
        <x:f>IF(ISNUMBER(K607),1,0)</x:f>
        <x:v>0</x:v>
      </x:c>
    </x:row>
    <x:row r="608" ht="24" customHeight="1">
      <x:c r="A608" s="2" t="str">
        <x:v>S04.03</x:v>
      </x:c>
      <x:c r="B608" s="2" t="str">
        <x:v>S04</x:v>
      </x:c>
      <x:c r="C608" s="2" t="str">
        <x:v>qwen_clean</x:v>
      </x:c>
      <x:c r="D608" s="2" t="n">
        <x:v>1</x:v>
      </x:c>
      <x:c r="E608" s="8"/>
      <x:c r="F608" s="8"/>
      <x:c r="G608" s="9"/>
      <x:c r="H608" s="9"/>
      <x:c r="I608" s="8"/>
      <x:c r="J608" s="8"/>
      <x:c r="K608" s="2" t="str">
        <x:f>IF(OR(E608="",F608="",G608="",H608="",I608="",J608=""),"",IF(E608="Harness blocked","BLOCKED",IF(AND(E608="Present",F608="Supplied"),1,IF(OR(E608="Missing",E608="Not reached"),0,"CHECK"))))</x:f>
      </x:c>
      <x:c r="L608" s="2" t="str">
        <x:f>IF(ISNUMBER(K608),IF(AND(K608=1,I608="No"),1,0),K608)</x:f>
      </x:c>
      <x:c r="M608" s="2" t="n">
        <x:f>IF(ISNUMBER(K608),1,0)</x:f>
        <x:v>0</x:v>
      </x:c>
    </x:row>
    <x:row r="609" ht="24" customHeight="1">
      <x:c r="A609" s="2" t="str">
        <x:v>S04.04</x:v>
      </x:c>
      <x:c r="B609" s="2" t="str">
        <x:v>S04</x:v>
      </x:c>
      <x:c r="C609" s="2" t="str">
        <x:v>qwen_clean</x:v>
      </x:c>
      <x:c r="D609" s="2" t="n">
        <x:v>1</x:v>
      </x:c>
      <x:c r="E609" s="8"/>
      <x:c r="F609" s="8"/>
      <x:c r="G609" s="9"/>
      <x:c r="H609" s="9"/>
      <x:c r="I609" s="8"/>
      <x:c r="J609" s="8"/>
      <x:c r="K609" s="2" t="str">
        <x:f>IF(OR(E609="",F609="",G609="",H609="",I609="",J609=""),"",IF(E609="Harness blocked","BLOCKED",IF(AND(E609="Present",F609="Supplied"),1,IF(OR(E609="Missing",E609="Not reached"),0,"CHECK"))))</x:f>
      </x:c>
      <x:c r="L609" s="2" t="str">
        <x:f>IF(ISNUMBER(K609),IF(AND(K609=1,I609="No"),1,0),K609)</x:f>
      </x:c>
      <x:c r="M609" s="2" t="n">
        <x:f>IF(ISNUMBER(K609),1,0)</x:f>
        <x:v>0</x:v>
      </x:c>
    </x:row>
    <x:row r="610" ht="24" customHeight="1">
      <x:c r="A610" s="2" t="str">
        <x:v>S04.05</x:v>
      </x:c>
      <x:c r="B610" s="2" t="str">
        <x:v>S04</x:v>
      </x:c>
      <x:c r="C610" s="2" t="str">
        <x:v>qwen_clean</x:v>
      </x:c>
      <x:c r="D610" s="2" t="n">
        <x:v>1</x:v>
      </x:c>
      <x:c r="E610" s="8"/>
      <x:c r="F610" s="8"/>
      <x:c r="G610" s="9"/>
      <x:c r="H610" s="9"/>
      <x:c r="I610" s="8"/>
      <x:c r="J610" s="8"/>
      <x:c r="K610" s="2" t="str">
        <x:f>IF(OR(E610="",F610="",G610="",H610="",I610="",J610=""),"",IF(E610="Harness blocked","BLOCKED",IF(AND(E610="Present",F610="Supplied"),1,IF(OR(E610="Missing",E610="Not reached"),0,"CHECK"))))</x:f>
      </x:c>
      <x:c r="L610" s="2" t="str">
        <x:f>IF(ISNUMBER(K610),IF(AND(K610=1,I610="No"),1,0),K610)</x:f>
      </x:c>
      <x:c r="M610" s="2" t="n">
        <x:f>IF(ISNUMBER(K610),1,0)</x:f>
        <x:v>0</x:v>
      </x:c>
    </x:row>
    <x:row r="611" ht="24" customHeight="1">
      <x:c r="A611" s="2" t="str">
        <x:v>S04.06</x:v>
      </x:c>
      <x:c r="B611" s="2" t="str">
        <x:v>S04</x:v>
      </x:c>
      <x:c r="C611" s="2" t="str">
        <x:v>qwen_clean</x:v>
      </x:c>
      <x:c r="D611" s="2" t="n">
        <x:v>1</x:v>
      </x:c>
      <x:c r="E611" s="8"/>
      <x:c r="F611" s="8"/>
      <x:c r="G611" s="9"/>
      <x:c r="H611" s="9"/>
      <x:c r="I611" s="8"/>
      <x:c r="J611" s="8"/>
      <x:c r="K611" s="2" t="str">
        <x:f>IF(OR(E611="",F611="",G611="",H611="",I611="",J611=""),"",IF(E611="Harness blocked","BLOCKED",IF(AND(E611="Present",F611="Supplied"),1,IF(OR(E611="Missing",E611="Not reached"),0,"CHECK"))))</x:f>
      </x:c>
      <x:c r="L611" s="2" t="str">
        <x:f>IF(ISNUMBER(K611),IF(AND(K611=1,I611="No"),1,0),K611)</x:f>
      </x:c>
      <x:c r="M611" s="2" t="n">
        <x:f>IF(ISNUMBER(K611),1,0)</x:f>
        <x:v>0</x:v>
      </x:c>
    </x:row>
    <x:row r="612" ht="24" customHeight="1">
      <x:c r="A612" s="2" t="str">
        <x:v>S04.07</x:v>
      </x:c>
      <x:c r="B612" s="2" t="str">
        <x:v>S04</x:v>
      </x:c>
      <x:c r="C612" s="2" t="str">
        <x:v>qwen_clean</x:v>
      </x:c>
      <x:c r="D612" s="2" t="n">
        <x:v>1</x:v>
      </x:c>
      <x:c r="E612" s="8"/>
      <x:c r="F612" s="8"/>
      <x:c r="G612" s="9"/>
      <x:c r="H612" s="9"/>
      <x:c r="I612" s="8"/>
      <x:c r="J612" s="8"/>
      <x:c r="K612" s="2" t="str">
        <x:f>IF(OR(E612="",F612="",G612="",H612="",I612="",J612=""),"",IF(E612="Harness blocked","BLOCKED",IF(AND(E612="Present",F612="Supplied"),1,IF(OR(E612="Missing",E612="Not reached"),0,"CHECK"))))</x:f>
      </x:c>
      <x:c r="L612" s="2" t="str">
        <x:f>IF(ISNUMBER(K612),IF(AND(K612=1,I612="No"),1,0),K612)</x:f>
      </x:c>
      <x:c r="M612" s="2" t="n">
        <x:f>IF(ISNUMBER(K612),1,0)</x:f>
        <x:v>0</x:v>
      </x:c>
    </x:row>
    <x:row r="613" ht="24" customHeight="1">
      <x:c r="A613" s="2" t="str">
        <x:v>S04.08</x:v>
      </x:c>
      <x:c r="B613" s="2" t="str">
        <x:v>S04</x:v>
      </x:c>
      <x:c r="C613" s="2" t="str">
        <x:v>qwen_clean</x:v>
      </x:c>
      <x:c r="D613" s="2" t="n">
        <x:v>1</x:v>
      </x:c>
      <x:c r="E613" s="8"/>
      <x:c r="F613" s="8"/>
      <x:c r="G613" s="9"/>
      <x:c r="H613" s="9"/>
      <x:c r="I613" s="8"/>
      <x:c r="J613" s="8"/>
      <x:c r="K613" s="2" t="str">
        <x:f>IF(OR(E613="",F613="",G613="",H613="",I613="",J613=""),"",IF(E613="Harness blocked","BLOCKED",IF(AND(E613="Present",F613="Supplied"),1,IF(OR(E613="Missing",E613="Not reached"),0,"CHECK"))))</x:f>
      </x:c>
      <x:c r="L613" s="2" t="str">
        <x:f>IF(ISNUMBER(K613),IF(AND(K613=1,I613="No"),1,0),K613)</x:f>
      </x:c>
      <x:c r="M613" s="2" t="n">
        <x:f>IF(ISNUMBER(K613),1,0)</x:f>
        <x:v>0</x:v>
      </x:c>
    </x:row>
    <x:row r="614" ht="24" customHeight="1">
      <x:c r="A614" s="2" t="str">
        <x:v>S05.01</x:v>
      </x:c>
      <x:c r="B614" s="2" t="str">
        <x:v>S05</x:v>
      </x:c>
      <x:c r="C614" s="2" t="str">
        <x:v>qwen_clean</x:v>
      </x:c>
      <x:c r="D614" s="2" t="n">
        <x:v>1</x:v>
      </x:c>
      <x:c r="E614" s="8"/>
      <x:c r="F614" s="8"/>
      <x:c r="G614" s="9"/>
      <x:c r="H614" s="9"/>
      <x:c r="I614" s="8"/>
      <x:c r="J614" s="8"/>
      <x:c r="K614" s="2" t="str">
        <x:f>IF(OR(E614="",F614="",G614="",H614="",I614="",J614=""),"",IF(E614="Harness blocked","BLOCKED",IF(AND(E614="Present",F614="Supplied"),1,IF(OR(E614="Missing",E614="Not reached"),0,"CHECK"))))</x:f>
      </x:c>
      <x:c r="L614" s="2" t="str">
        <x:f>IF(ISNUMBER(K614),IF(AND(K614=1,I614="No"),1,0),K614)</x:f>
      </x:c>
      <x:c r="M614" s="2" t="n">
        <x:f>IF(ISNUMBER(K614),1,0)</x:f>
        <x:v>0</x:v>
      </x:c>
    </x:row>
    <x:row r="615" ht="24" customHeight="1">
      <x:c r="A615" s="2" t="str">
        <x:v>S05.02</x:v>
      </x:c>
      <x:c r="B615" s="2" t="str">
        <x:v>S05</x:v>
      </x:c>
      <x:c r="C615" s="2" t="str">
        <x:v>qwen_clean</x:v>
      </x:c>
      <x:c r="D615" s="2" t="n">
        <x:v>1</x:v>
      </x:c>
      <x:c r="E615" s="8"/>
      <x:c r="F615" s="8"/>
      <x:c r="G615" s="9"/>
      <x:c r="H615" s="9"/>
      <x:c r="I615" s="8"/>
      <x:c r="J615" s="8"/>
      <x:c r="K615" s="2" t="str">
        <x:f>IF(OR(E615="",F615="",G615="",H615="",I615="",J615=""),"",IF(E615="Harness blocked","BLOCKED",IF(AND(E615="Present",F615="Supplied"),1,IF(OR(E615="Missing",E615="Not reached"),0,"CHECK"))))</x:f>
      </x:c>
      <x:c r="L615" s="2" t="str">
        <x:f>IF(ISNUMBER(K615),IF(AND(K615=1,I615="No"),1,0),K615)</x:f>
      </x:c>
      <x:c r="M615" s="2" t="n">
        <x:f>IF(ISNUMBER(K615),1,0)</x:f>
        <x:v>0</x:v>
      </x:c>
    </x:row>
    <x:row r="616" ht="24" customHeight="1">
      <x:c r="A616" s="2" t="str">
        <x:v>S05.03</x:v>
      </x:c>
      <x:c r="B616" s="2" t="str">
        <x:v>S05</x:v>
      </x:c>
      <x:c r="C616" s="2" t="str">
        <x:v>qwen_clean</x:v>
      </x:c>
      <x:c r="D616" s="2" t="n">
        <x:v>1</x:v>
      </x:c>
      <x:c r="E616" s="8"/>
      <x:c r="F616" s="8"/>
      <x:c r="G616" s="9"/>
      <x:c r="H616" s="9"/>
      <x:c r="I616" s="8"/>
      <x:c r="J616" s="8"/>
      <x:c r="K616" s="2" t="str">
        <x:f>IF(OR(E616="",F616="",G616="",H616="",I616="",J616=""),"",IF(E616="Harness blocked","BLOCKED",IF(AND(E616="Present",F616="Supplied"),1,IF(OR(E616="Missing",E616="Not reached"),0,"CHECK"))))</x:f>
      </x:c>
      <x:c r="L616" s="2" t="str">
        <x:f>IF(ISNUMBER(K616),IF(AND(K616=1,I616="No"),1,0),K616)</x:f>
      </x:c>
      <x:c r="M616" s="2" t="n">
        <x:f>IF(ISNUMBER(K616),1,0)</x:f>
        <x:v>0</x:v>
      </x:c>
    </x:row>
    <x:row r="617" ht="24" customHeight="1">
      <x:c r="A617" s="2" t="str">
        <x:v>S05.04</x:v>
      </x:c>
      <x:c r="B617" s="2" t="str">
        <x:v>S05</x:v>
      </x:c>
      <x:c r="C617" s="2" t="str">
        <x:v>qwen_clean</x:v>
      </x:c>
      <x:c r="D617" s="2" t="n">
        <x:v>1</x:v>
      </x:c>
      <x:c r="E617" s="8"/>
      <x:c r="F617" s="8"/>
      <x:c r="G617" s="9"/>
      <x:c r="H617" s="9"/>
      <x:c r="I617" s="8"/>
      <x:c r="J617" s="8"/>
      <x:c r="K617" s="2" t="str">
        <x:f>IF(OR(E617="",F617="",G617="",H617="",I617="",J617=""),"",IF(E617="Harness blocked","BLOCKED",IF(AND(E617="Present",F617="Supplied"),1,IF(OR(E617="Missing",E617="Not reached"),0,"CHECK"))))</x:f>
      </x:c>
      <x:c r="L617" s="2" t="str">
        <x:f>IF(ISNUMBER(K617),IF(AND(K617=1,I617="No"),1,0),K617)</x:f>
      </x:c>
      <x:c r="M617" s="2" t="n">
        <x:f>IF(ISNUMBER(K617),1,0)</x:f>
        <x:v>0</x:v>
      </x:c>
    </x:row>
    <x:row r="618" ht="24" customHeight="1">
      <x:c r="A618" s="2" t="str">
        <x:v>S05.05</x:v>
      </x:c>
      <x:c r="B618" s="2" t="str">
        <x:v>S05</x:v>
      </x:c>
      <x:c r="C618" s="2" t="str">
        <x:v>qwen_clean</x:v>
      </x:c>
      <x:c r="D618" s="2" t="n">
        <x:v>1</x:v>
      </x:c>
      <x:c r="E618" s="8"/>
      <x:c r="F618" s="8"/>
      <x:c r="G618" s="9"/>
      <x:c r="H618" s="9"/>
      <x:c r="I618" s="8"/>
      <x:c r="J618" s="8"/>
      <x:c r="K618" s="2" t="str">
        <x:f>IF(OR(E618="",F618="",G618="",H618="",I618="",J618=""),"",IF(E618="Harness blocked","BLOCKED",IF(AND(E618="Present",F618="Supplied"),1,IF(OR(E618="Missing",E618="Not reached"),0,"CHECK"))))</x:f>
      </x:c>
      <x:c r="L618" s="2" t="str">
        <x:f>IF(ISNUMBER(K618),IF(AND(K618=1,I618="No"),1,0),K618)</x:f>
      </x:c>
      <x:c r="M618" s="2" t="n">
        <x:f>IF(ISNUMBER(K618),1,0)</x:f>
        <x:v>0</x:v>
      </x:c>
    </x:row>
    <x:row r="619" ht="24" customHeight="1">
      <x:c r="A619" s="2" t="str">
        <x:v>S05.06</x:v>
      </x:c>
      <x:c r="B619" s="2" t="str">
        <x:v>S05</x:v>
      </x:c>
      <x:c r="C619" s="2" t="str">
        <x:v>qwen_clean</x:v>
      </x:c>
      <x:c r="D619" s="2" t="n">
        <x:v>1</x:v>
      </x:c>
      <x:c r="E619" s="8"/>
      <x:c r="F619" s="8"/>
      <x:c r="G619" s="9"/>
      <x:c r="H619" s="9"/>
      <x:c r="I619" s="8"/>
      <x:c r="J619" s="8"/>
      <x:c r="K619" s="2" t="str">
        <x:f>IF(OR(E619="",F619="",G619="",H619="",I619="",J619=""),"",IF(E619="Harness blocked","BLOCKED",IF(AND(E619="Present",F619="Supplied"),1,IF(OR(E619="Missing",E619="Not reached"),0,"CHECK"))))</x:f>
      </x:c>
      <x:c r="L619" s="2" t="str">
        <x:f>IF(ISNUMBER(K619),IF(AND(K619=1,I619="No"),1,0),K619)</x:f>
      </x:c>
      <x:c r="M619" s="2" t="n">
        <x:f>IF(ISNUMBER(K619),1,0)</x:f>
        <x:v>0</x:v>
      </x:c>
    </x:row>
    <x:row r="620" ht="24" customHeight="1">
      <x:c r="A620" s="2" t="str">
        <x:v>S05.07</x:v>
      </x:c>
      <x:c r="B620" s="2" t="str">
        <x:v>S05</x:v>
      </x:c>
      <x:c r="C620" s="2" t="str">
        <x:v>qwen_clean</x:v>
      </x:c>
      <x:c r="D620" s="2" t="n">
        <x:v>1</x:v>
      </x:c>
      <x:c r="E620" s="8"/>
      <x:c r="F620" s="8"/>
      <x:c r="G620" s="9"/>
      <x:c r="H620" s="9"/>
      <x:c r="I620" s="8"/>
      <x:c r="J620" s="8"/>
      <x:c r="K620" s="2" t="str">
        <x:f>IF(OR(E620="",F620="",G620="",H620="",I620="",J620=""),"",IF(E620="Harness blocked","BLOCKED",IF(AND(E620="Present",F620="Supplied"),1,IF(OR(E620="Missing",E620="Not reached"),0,"CHECK"))))</x:f>
      </x:c>
      <x:c r="L620" s="2" t="str">
        <x:f>IF(ISNUMBER(K620),IF(AND(K620=1,I620="No"),1,0),K620)</x:f>
      </x:c>
      <x:c r="M620" s="2" t="n">
        <x:f>IF(ISNUMBER(K620),1,0)</x:f>
        <x:v>0</x:v>
      </x:c>
    </x:row>
    <x:row r="621" ht="24" customHeight="1">
      <x:c r="A621" s="2" t="str">
        <x:v>S05.08</x:v>
      </x:c>
      <x:c r="B621" s="2" t="str">
        <x:v>S05</x:v>
      </x:c>
      <x:c r="C621" s="2" t="str">
        <x:v>qwen_clean</x:v>
      </x:c>
      <x:c r="D621" s="2" t="n">
        <x:v>1</x:v>
      </x:c>
      <x:c r="E621" s="8"/>
      <x:c r="F621" s="8"/>
      <x:c r="G621" s="9"/>
      <x:c r="H621" s="9"/>
      <x:c r="I621" s="8"/>
      <x:c r="J621" s="8"/>
      <x:c r="K621" s="2" t="str">
        <x:f>IF(OR(E621="",F621="",G621="",H621="",I621="",J621=""),"",IF(E621="Harness blocked","BLOCKED",IF(AND(E621="Present",F621="Supplied"),1,IF(OR(E621="Missing",E621="Not reached"),0,"CHECK"))))</x:f>
      </x:c>
      <x:c r="L621" s="2" t="str">
        <x:f>IF(ISNUMBER(K621),IF(AND(K621=1,I621="No"),1,0),K621)</x:f>
      </x:c>
      <x:c r="M621" s="2" t="n">
        <x:f>IF(ISNUMBER(K621),1,0)</x:f>
        <x:v>0</x:v>
      </x:c>
    </x:row>
    <x:row r="622" ht="24" customHeight="1">
      <x:c r="A622" s="2" t="str">
        <x:v>S06.01</x:v>
      </x:c>
      <x:c r="B622" s="2" t="str">
        <x:v>S06</x:v>
      </x:c>
      <x:c r="C622" s="2" t="str">
        <x:v>qwen_clean</x:v>
      </x:c>
      <x:c r="D622" s="2" t="n">
        <x:v>1</x:v>
      </x:c>
      <x:c r="E622" s="8"/>
      <x:c r="F622" s="8"/>
      <x:c r="G622" s="9"/>
      <x:c r="H622" s="9"/>
      <x:c r="I622" s="8"/>
      <x:c r="J622" s="8"/>
      <x:c r="K622" s="2" t="str">
        <x:f>IF(OR(E622="",F622="",G622="",H622="",I622="",J622=""),"",IF(E622="Harness blocked","BLOCKED",IF(AND(E622="Present",F622="Supplied"),1,IF(OR(E622="Missing",E622="Not reached"),0,"CHECK"))))</x:f>
      </x:c>
      <x:c r="L622" s="2" t="str">
        <x:f>IF(ISNUMBER(K622),IF(AND(K622=1,I622="No"),1,0),K622)</x:f>
      </x:c>
      <x:c r="M622" s="2" t="n">
        <x:f>IF(ISNUMBER(K622),1,0)</x:f>
        <x:v>0</x:v>
      </x:c>
    </x:row>
    <x:row r="623" ht="24" customHeight="1">
      <x:c r="A623" s="2" t="str">
        <x:v>S06.02</x:v>
      </x:c>
      <x:c r="B623" s="2" t="str">
        <x:v>S06</x:v>
      </x:c>
      <x:c r="C623" s="2" t="str">
        <x:v>qwen_clean</x:v>
      </x:c>
      <x:c r="D623" s="2" t="n">
        <x:v>1</x:v>
      </x:c>
      <x:c r="E623" s="8"/>
      <x:c r="F623" s="8"/>
      <x:c r="G623" s="9"/>
      <x:c r="H623" s="9"/>
      <x:c r="I623" s="8"/>
      <x:c r="J623" s="8"/>
      <x:c r="K623" s="2" t="str">
        <x:f>IF(OR(E623="",F623="",G623="",H623="",I623="",J623=""),"",IF(E623="Harness blocked","BLOCKED",IF(AND(E623="Present",F623="Supplied"),1,IF(OR(E623="Missing",E623="Not reached"),0,"CHECK"))))</x:f>
      </x:c>
      <x:c r="L623" s="2" t="str">
        <x:f>IF(ISNUMBER(K623),IF(AND(K623=1,I623="No"),1,0),K623)</x:f>
      </x:c>
      <x:c r="M623" s="2" t="n">
        <x:f>IF(ISNUMBER(K623),1,0)</x:f>
        <x:v>0</x:v>
      </x:c>
    </x:row>
    <x:row r="624" ht="24" customHeight="1">
      <x:c r="A624" s="2" t="str">
        <x:v>S06.03</x:v>
      </x:c>
      <x:c r="B624" s="2" t="str">
        <x:v>S06</x:v>
      </x:c>
      <x:c r="C624" s="2" t="str">
        <x:v>qwen_clean</x:v>
      </x:c>
      <x:c r="D624" s="2" t="n">
        <x:v>1</x:v>
      </x:c>
      <x:c r="E624" s="8"/>
      <x:c r="F624" s="8"/>
      <x:c r="G624" s="9"/>
      <x:c r="H624" s="9"/>
      <x:c r="I624" s="8"/>
      <x:c r="J624" s="8"/>
      <x:c r="K624" s="2" t="str">
        <x:f>IF(OR(E624="",F624="",G624="",H624="",I624="",J624=""),"",IF(E624="Harness blocked","BLOCKED",IF(AND(E624="Present",F624="Supplied"),1,IF(OR(E624="Missing",E624="Not reached"),0,"CHECK"))))</x:f>
      </x:c>
      <x:c r="L624" s="2" t="str">
        <x:f>IF(ISNUMBER(K624),IF(AND(K624=1,I624="No"),1,0),K624)</x:f>
      </x:c>
      <x:c r="M624" s="2" t="n">
        <x:f>IF(ISNUMBER(K624),1,0)</x:f>
        <x:v>0</x:v>
      </x:c>
    </x:row>
    <x:row r="625" ht="24" customHeight="1">
      <x:c r="A625" s="2" t="str">
        <x:v>S06.04</x:v>
      </x:c>
      <x:c r="B625" s="2" t="str">
        <x:v>S06</x:v>
      </x:c>
      <x:c r="C625" s="2" t="str">
        <x:v>qwen_clean</x:v>
      </x:c>
      <x:c r="D625" s="2" t="n">
        <x:v>1</x:v>
      </x:c>
      <x:c r="E625" s="8"/>
      <x:c r="F625" s="8"/>
      <x:c r="G625" s="9"/>
      <x:c r="H625" s="9"/>
      <x:c r="I625" s="8"/>
      <x:c r="J625" s="8"/>
      <x:c r="K625" s="2" t="str">
        <x:f>IF(OR(E625="",F625="",G625="",H625="",I625="",J625=""),"",IF(E625="Harness blocked","BLOCKED",IF(AND(E625="Present",F625="Supplied"),1,IF(OR(E625="Missing",E625="Not reached"),0,"CHECK"))))</x:f>
      </x:c>
      <x:c r="L625" s="2" t="str">
        <x:f>IF(ISNUMBER(K625),IF(AND(K625=1,I625="No"),1,0),K625)</x:f>
      </x:c>
      <x:c r="M625" s="2" t="n">
        <x:f>IF(ISNUMBER(K625),1,0)</x:f>
        <x:v>0</x:v>
      </x:c>
    </x:row>
    <x:row r="626" ht="24" customHeight="1">
      <x:c r="A626" s="2" t="str">
        <x:v>S06.05</x:v>
      </x:c>
      <x:c r="B626" s="2" t="str">
        <x:v>S06</x:v>
      </x:c>
      <x:c r="C626" s="2" t="str">
        <x:v>qwen_clean</x:v>
      </x:c>
      <x:c r="D626" s="2" t="n">
        <x:v>1</x:v>
      </x:c>
      <x:c r="E626" s="8"/>
      <x:c r="F626" s="8"/>
      <x:c r="G626" s="9"/>
      <x:c r="H626" s="9"/>
      <x:c r="I626" s="8"/>
      <x:c r="J626" s="8"/>
      <x:c r="K626" s="2" t="str">
        <x:f>IF(OR(E626="",F626="",G626="",H626="",I626="",J626=""),"",IF(E626="Harness blocked","BLOCKED",IF(AND(E626="Present",F626="Supplied"),1,IF(OR(E626="Missing",E626="Not reached"),0,"CHECK"))))</x:f>
      </x:c>
      <x:c r="L626" s="2" t="str">
        <x:f>IF(ISNUMBER(K626),IF(AND(K626=1,I626="No"),1,0),K626)</x:f>
      </x:c>
      <x:c r="M626" s="2" t="n">
        <x:f>IF(ISNUMBER(K626),1,0)</x:f>
        <x:v>0</x:v>
      </x:c>
    </x:row>
    <x:row r="627" ht="24" customHeight="1">
      <x:c r="A627" s="2" t="str">
        <x:v>S06.06</x:v>
      </x:c>
      <x:c r="B627" s="2" t="str">
        <x:v>S06</x:v>
      </x:c>
      <x:c r="C627" s="2" t="str">
        <x:v>qwen_clean</x:v>
      </x:c>
      <x:c r="D627" s="2" t="n">
        <x:v>1</x:v>
      </x:c>
      <x:c r="E627" s="8"/>
      <x:c r="F627" s="8"/>
      <x:c r="G627" s="9"/>
      <x:c r="H627" s="9"/>
      <x:c r="I627" s="8"/>
      <x:c r="J627" s="8"/>
      <x:c r="K627" s="2" t="str">
        <x:f>IF(OR(E627="",F627="",G627="",H627="",I627="",J627=""),"",IF(E627="Harness blocked","BLOCKED",IF(AND(E627="Present",F627="Supplied"),1,IF(OR(E627="Missing",E627="Not reached"),0,"CHECK"))))</x:f>
      </x:c>
      <x:c r="L627" s="2" t="str">
        <x:f>IF(ISNUMBER(K627),IF(AND(K627=1,I627="No"),1,0),K627)</x:f>
      </x:c>
      <x:c r="M627" s="2" t="n">
        <x:f>IF(ISNUMBER(K627),1,0)</x:f>
        <x:v>0</x:v>
      </x:c>
    </x:row>
    <x:row r="628" ht="24" customHeight="1">
      <x:c r="A628" s="2" t="str">
        <x:v>S06.07</x:v>
      </x:c>
      <x:c r="B628" s="2" t="str">
        <x:v>S06</x:v>
      </x:c>
      <x:c r="C628" s="2" t="str">
        <x:v>qwen_clean</x:v>
      </x:c>
      <x:c r="D628" s="2" t="n">
        <x:v>1</x:v>
      </x:c>
      <x:c r="E628" s="8"/>
      <x:c r="F628" s="8"/>
      <x:c r="G628" s="9"/>
      <x:c r="H628" s="9"/>
      <x:c r="I628" s="8"/>
      <x:c r="J628" s="8"/>
      <x:c r="K628" s="2" t="str">
        <x:f>IF(OR(E628="",F628="",G628="",H628="",I628="",J628=""),"",IF(E628="Harness blocked","BLOCKED",IF(AND(E628="Present",F628="Supplied"),1,IF(OR(E628="Missing",E628="Not reached"),0,"CHECK"))))</x:f>
      </x:c>
      <x:c r="L628" s="2" t="str">
        <x:f>IF(ISNUMBER(K628),IF(AND(K628=1,I628="No"),1,0),K628)</x:f>
      </x:c>
      <x:c r="M628" s="2" t="n">
        <x:f>IF(ISNUMBER(K628),1,0)</x:f>
        <x:v>0</x:v>
      </x:c>
    </x:row>
    <x:row r="629" ht="24" customHeight="1">
      <x:c r="A629" s="2" t="str">
        <x:v>S06.08</x:v>
      </x:c>
      <x:c r="B629" s="2" t="str">
        <x:v>S06</x:v>
      </x:c>
      <x:c r="C629" s="2" t="str">
        <x:v>qwen_clean</x:v>
      </x:c>
      <x:c r="D629" s="2" t="n">
        <x:v>1</x:v>
      </x:c>
      <x:c r="E629" s="8"/>
      <x:c r="F629" s="8"/>
      <x:c r="G629" s="9"/>
      <x:c r="H629" s="9"/>
      <x:c r="I629" s="8"/>
      <x:c r="J629" s="8"/>
      <x:c r="K629" s="2" t="str">
        <x:f>IF(OR(E629="",F629="",G629="",H629="",I629="",J629=""),"",IF(E629="Harness blocked","BLOCKED",IF(AND(E629="Present",F629="Supplied"),1,IF(OR(E629="Missing",E629="Not reached"),0,"CHECK"))))</x:f>
      </x:c>
      <x:c r="L629" s="2" t="str">
        <x:f>IF(ISNUMBER(K629),IF(AND(K629=1,I629="No"),1,0),K629)</x:f>
      </x:c>
      <x:c r="M629" s="2" t="n">
        <x:f>IF(ISNUMBER(K629),1,0)</x:f>
        <x:v>0</x:v>
      </x:c>
    </x:row>
    <x:row r="630" ht="24" customHeight="1">
      <x:c r="A630" s="2" t="str">
        <x:v>S07.01</x:v>
      </x:c>
      <x:c r="B630" s="2" t="str">
        <x:v>S07</x:v>
      </x:c>
      <x:c r="C630" s="2" t="str">
        <x:v>qwen_clean</x:v>
      </x:c>
      <x:c r="D630" s="2" t="n">
        <x:v>1</x:v>
      </x:c>
      <x:c r="E630" s="8"/>
      <x:c r="F630" s="8"/>
      <x:c r="G630" s="9"/>
      <x:c r="H630" s="9"/>
      <x:c r="I630" s="8"/>
      <x:c r="J630" s="8"/>
      <x:c r="K630" s="2" t="str">
        <x:f>IF(OR(E630="",F630="",G630="",H630="",I630="",J630=""),"",IF(E630="Harness blocked","BLOCKED",IF(AND(E630="Present",F630="Supplied"),1,IF(OR(E630="Missing",E630="Not reached"),0,"CHECK"))))</x:f>
      </x:c>
      <x:c r="L630" s="2" t="str">
        <x:f>IF(ISNUMBER(K630),IF(AND(K630=1,I630="No"),1,0),K630)</x:f>
      </x:c>
      <x:c r="M630" s="2" t="n">
        <x:f>IF(ISNUMBER(K630),1,0)</x:f>
        <x:v>0</x:v>
      </x:c>
    </x:row>
    <x:row r="631" ht="24" customHeight="1">
      <x:c r="A631" s="2" t="str">
        <x:v>S07.02</x:v>
      </x:c>
      <x:c r="B631" s="2" t="str">
        <x:v>S07</x:v>
      </x:c>
      <x:c r="C631" s="2" t="str">
        <x:v>qwen_clean</x:v>
      </x:c>
      <x:c r="D631" s="2" t="n">
        <x:v>1</x:v>
      </x:c>
      <x:c r="E631" s="8"/>
      <x:c r="F631" s="8"/>
      <x:c r="G631" s="9"/>
      <x:c r="H631" s="9"/>
      <x:c r="I631" s="8"/>
      <x:c r="J631" s="8"/>
      <x:c r="K631" s="2" t="str">
        <x:f>IF(OR(E631="",F631="",G631="",H631="",I631="",J631=""),"",IF(E631="Harness blocked","BLOCKED",IF(AND(E631="Present",F631="Supplied"),1,IF(OR(E631="Missing",E631="Not reached"),0,"CHECK"))))</x:f>
      </x:c>
      <x:c r="L631" s="2" t="str">
        <x:f>IF(ISNUMBER(K631),IF(AND(K631=1,I631="No"),1,0),K631)</x:f>
      </x:c>
      <x:c r="M631" s="2" t="n">
        <x:f>IF(ISNUMBER(K631),1,0)</x:f>
        <x:v>0</x:v>
      </x:c>
    </x:row>
    <x:row r="632" ht="24" customHeight="1">
      <x:c r="A632" s="2" t="str">
        <x:v>S07.03</x:v>
      </x:c>
      <x:c r="B632" s="2" t="str">
        <x:v>S07</x:v>
      </x:c>
      <x:c r="C632" s="2" t="str">
        <x:v>qwen_clean</x:v>
      </x:c>
      <x:c r="D632" s="2" t="n">
        <x:v>1</x:v>
      </x:c>
      <x:c r="E632" s="8"/>
      <x:c r="F632" s="8"/>
      <x:c r="G632" s="9"/>
      <x:c r="H632" s="9"/>
      <x:c r="I632" s="8"/>
      <x:c r="J632" s="8"/>
      <x:c r="K632" s="2" t="str">
        <x:f>IF(OR(E632="",F632="",G632="",H632="",I632="",J632=""),"",IF(E632="Harness blocked","BLOCKED",IF(AND(E632="Present",F632="Supplied"),1,IF(OR(E632="Missing",E632="Not reached"),0,"CHECK"))))</x:f>
      </x:c>
      <x:c r="L632" s="2" t="str">
        <x:f>IF(ISNUMBER(K632),IF(AND(K632=1,I632="No"),1,0),K632)</x:f>
      </x:c>
      <x:c r="M632" s="2" t="n">
        <x:f>IF(ISNUMBER(K632),1,0)</x:f>
        <x:v>0</x:v>
      </x:c>
    </x:row>
    <x:row r="633" ht="24" customHeight="1">
      <x:c r="A633" s="2" t="str">
        <x:v>S07.04</x:v>
      </x:c>
      <x:c r="B633" s="2" t="str">
        <x:v>S07</x:v>
      </x:c>
      <x:c r="C633" s="2" t="str">
        <x:v>qwen_clean</x:v>
      </x:c>
      <x:c r="D633" s="2" t="n">
        <x:v>1</x:v>
      </x:c>
      <x:c r="E633" s="8"/>
      <x:c r="F633" s="8"/>
      <x:c r="G633" s="9"/>
      <x:c r="H633" s="9"/>
      <x:c r="I633" s="8"/>
      <x:c r="J633" s="8"/>
      <x:c r="K633" s="2" t="str">
        <x:f>IF(OR(E633="",F633="",G633="",H633="",I633="",J633=""),"",IF(E633="Harness blocked","BLOCKED",IF(AND(E633="Present",F633="Supplied"),1,IF(OR(E633="Missing",E633="Not reached"),0,"CHECK"))))</x:f>
      </x:c>
      <x:c r="L633" s="2" t="str">
        <x:f>IF(ISNUMBER(K633),IF(AND(K633=1,I633="No"),1,0),K633)</x:f>
      </x:c>
      <x:c r="M633" s="2" t="n">
        <x:f>IF(ISNUMBER(K633),1,0)</x:f>
        <x:v>0</x:v>
      </x:c>
    </x:row>
    <x:row r="634" ht="24" customHeight="1">
      <x:c r="A634" s="2" t="str">
        <x:v>S07.05</x:v>
      </x:c>
      <x:c r="B634" s="2" t="str">
        <x:v>S07</x:v>
      </x:c>
      <x:c r="C634" s="2" t="str">
        <x:v>qwen_clean</x:v>
      </x:c>
      <x:c r="D634" s="2" t="n">
        <x:v>1</x:v>
      </x:c>
      <x:c r="E634" s="8"/>
      <x:c r="F634" s="8"/>
      <x:c r="G634" s="9"/>
      <x:c r="H634" s="9"/>
      <x:c r="I634" s="8"/>
      <x:c r="J634" s="8"/>
      <x:c r="K634" s="2" t="str">
        <x:f>IF(OR(E634="",F634="",G634="",H634="",I634="",J634=""),"",IF(E634="Harness blocked","BLOCKED",IF(AND(E634="Present",F634="Supplied"),1,IF(OR(E634="Missing",E634="Not reached"),0,"CHECK"))))</x:f>
      </x:c>
      <x:c r="L634" s="2" t="str">
        <x:f>IF(ISNUMBER(K634),IF(AND(K634=1,I634="No"),1,0),K634)</x:f>
      </x:c>
      <x:c r="M634" s="2" t="n">
        <x:f>IF(ISNUMBER(K634),1,0)</x:f>
        <x:v>0</x:v>
      </x:c>
    </x:row>
    <x:row r="635" ht="24" customHeight="1">
      <x:c r="A635" s="2" t="str">
        <x:v>S07.06</x:v>
      </x:c>
      <x:c r="B635" s="2" t="str">
        <x:v>S07</x:v>
      </x:c>
      <x:c r="C635" s="2" t="str">
        <x:v>qwen_clean</x:v>
      </x:c>
      <x:c r="D635" s="2" t="n">
        <x:v>1</x:v>
      </x:c>
      <x:c r="E635" s="8"/>
      <x:c r="F635" s="8"/>
      <x:c r="G635" s="9"/>
      <x:c r="H635" s="9"/>
      <x:c r="I635" s="8"/>
      <x:c r="J635" s="8"/>
      <x:c r="K635" s="2" t="str">
        <x:f>IF(OR(E635="",F635="",G635="",H635="",I635="",J635=""),"",IF(E635="Harness blocked","BLOCKED",IF(AND(E635="Present",F635="Supplied"),1,IF(OR(E635="Missing",E635="Not reached"),0,"CHECK"))))</x:f>
      </x:c>
      <x:c r="L635" s="2" t="str">
        <x:f>IF(ISNUMBER(K635),IF(AND(K635=1,I635="No"),1,0),K635)</x:f>
      </x:c>
      <x:c r="M635" s="2" t="n">
        <x:f>IF(ISNUMBER(K635),1,0)</x:f>
        <x:v>0</x:v>
      </x:c>
    </x:row>
    <x:row r="636" ht="24" customHeight="1">
      <x:c r="A636" s="2" t="str">
        <x:v>S07.07</x:v>
      </x:c>
      <x:c r="B636" s="2" t="str">
        <x:v>S07</x:v>
      </x:c>
      <x:c r="C636" s="2" t="str">
        <x:v>qwen_clean</x:v>
      </x:c>
      <x:c r="D636" s="2" t="n">
        <x:v>1</x:v>
      </x:c>
      <x:c r="E636" s="8"/>
      <x:c r="F636" s="8"/>
      <x:c r="G636" s="9"/>
      <x:c r="H636" s="9"/>
      <x:c r="I636" s="8"/>
      <x:c r="J636" s="8"/>
      <x:c r="K636" s="2" t="str">
        <x:f>IF(OR(E636="",F636="",G636="",H636="",I636="",J636=""),"",IF(E636="Harness blocked","BLOCKED",IF(AND(E636="Present",F636="Supplied"),1,IF(OR(E636="Missing",E636="Not reached"),0,"CHECK"))))</x:f>
      </x:c>
      <x:c r="L636" s="2" t="str">
        <x:f>IF(ISNUMBER(K636),IF(AND(K636=1,I636="No"),1,0),K636)</x:f>
      </x:c>
      <x:c r="M636" s="2" t="n">
        <x:f>IF(ISNUMBER(K636),1,0)</x:f>
        <x:v>0</x:v>
      </x:c>
    </x:row>
    <x:row r="637" ht="24" customHeight="1">
      <x:c r="A637" s="2" t="str">
        <x:v>S07.08</x:v>
      </x:c>
      <x:c r="B637" s="2" t="str">
        <x:v>S07</x:v>
      </x:c>
      <x:c r="C637" s="2" t="str">
        <x:v>qwen_clean</x:v>
      </x:c>
      <x:c r="D637" s="2" t="n">
        <x:v>1</x:v>
      </x:c>
      <x:c r="E637" s="8"/>
      <x:c r="F637" s="8"/>
      <x:c r="G637" s="9"/>
      <x:c r="H637" s="9"/>
      <x:c r="I637" s="8"/>
      <x:c r="J637" s="8"/>
      <x:c r="K637" s="2" t="str">
        <x:f>IF(OR(E637="",F637="",G637="",H637="",I637="",J637=""),"",IF(E637="Harness blocked","BLOCKED",IF(AND(E637="Present",F637="Supplied"),1,IF(OR(E637="Missing",E637="Not reached"),0,"CHECK"))))</x:f>
      </x:c>
      <x:c r="L637" s="2" t="str">
        <x:f>IF(ISNUMBER(K637),IF(AND(K637=1,I637="No"),1,0),K637)</x:f>
      </x:c>
      <x:c r="M637" s="2" t="n">
        <x:f>IF(ISNUMBER(K637),1,0)</x:f>
        <x:v>0</x:v>
      </x:c>
    </x:row>
    <x:row r="638" ht="24" customHeight="1">
      <x:c r="A638" s="2" t="str">
        <x:v>S08.01</x:v>
      </x:c>
      <x:c r="B638" s="2" t="str">
        <x:v>S08</x:v>
      </x:c>
      <x:c r="C638" s="2" t="str">
        <x:v>qwen_clean</x:v>
      </x:c>
      <x:c r="D638" s="2" t="n">
        <x:v>1</x:v>
      </x:c>
      <x:c r="E638" s="8"/>
      <x:c r="F638" s="8"/>
      <x:c r="G638" s="9"/>
      <x:c r="H638" s="9"/>
      <x:c r="I638" s="8"/>
      <x:c r="J638" s="8"/>
      <x:c r="K638" s="2" t="str">
        <x:f>IF(OR(E638="",F638="",G638="",H638="",I638="",J638=""),"",IF(E638="Harness blocked","BLOCKED",IF(AND(E638="Present",F638="Supplied"),1,IF(OR(E638="Missing",E638="Not reached"),0,"CHECK"))))</x:f>
      </x:c>
      <x:c r="L638" s="2" t="str">
        <x:f>IF(ISNUMBER(K638),IF(AND(K638=1,I638="No"),1,0),K638)</x:f>
      </x:c>
      <x:c r="M638" s="2" t="n">
        <x:f>IF(ISNUMBER(K638),1,0)</x:f>
        <x:v>0</x:v>
      </x:c>
    </x:row>
    <x:row r="639" ht="24" customHeight="1">
      <x:c r="A639" s="2" t="str">
        <x:v>S08.02</x:v>
      </x:c>
      <x:c r="B639" s="2" t="str">
        <x:v>S08</x:v>
      </x:c>
      <x:c r="C639" s="2" t="str">
        <x:v>qwen_clean</x:v>
      </x:c>
      <x:c r="D639" s="2" t="n">
        <x:v>1</x:v>
      </x:c>
      <x:c r="E639" s="8"/>
      <x:c r="F639" s="8"/>
      <x:c r="G639" s="9"/>
      <x:c r="H639" s="9"/>
      <x:c r="I639" s="8"/>
      <x:c r="J639" s="8"/>
      <x:c r="K639" s="2" t="str">
        <x:f>IF(OR(E639="",F639="",G639="",H639="",I639="",J639=""),"",IF(E639="Harness blocked","BLOCKED",IF(AND(E639="Present",F639="Supplied"),1,IF(OR(E639="Missing",E639="Not reached"),0,"CHECK"))))</x:f>
      </x:c>
      <x:c r="L639" s="2" t="str">
        <x:f>IF(ISNUMBER(K639),IF(AND(K639=1,I639="No"),1,0),K639)</x:f>
      </x:c>
      <x:c r="M639" s="2" t="n">
        <x:f>IF(ISNUMBER(K639),1,0)</x:f>
        <x:v>0</x:v>
      </x:c>
    </x:row>
    <x:row r="640" ht="24" customHeight="1">
      <x:c r="A640" s="2" t="str">
        <x:v>S08.03</x:v>
      </x:c>
      <x:c r="B640" s="2" t="str">
        <x:v>S08</x:v>
      </x:c>
      <x:c r="C640" s="2" t="str">
        <x:v>qwen_clean</x:v>
      </x:c>
      <x:c r="D640" s="2" t="n">
        <x:v>1</x:v>
      </x:c>
      <x:c r="E640" s="8"/>
      <x:c r="F640" s="8"/>
      <x:c r="G640" s="9"/>
      <x:c r="H640" s="9"/>
      <x:c r="I640" s="8"/>
      <x:c r="J640" s="8"/>
      <x:c r="K640" s="2" t="str">
        <x:f>IF(OR(E640="",F640="",G640="",H640="",I640="",J640=""),"",IF(E640="Harness blocked","BLOCKED",IF(AND(E640="Present",F640="Supplied"),1,IF(OR(E640="Missing",E640="Not reached"),0,"CHECK"))))</x:f>
      </x:c>
      <x:c r="L640" s="2" t="str">
        <x:f>IF(ISNUMBER(K640),IF(AND(K640=1,I640="No"),1,0),K640)</x:f>
      </x:c>
      <x:c r="M640" s="2" t="n">
        <x:f>IF(ISNUMBER(K640),1,0)</x:f>
        <x:v>0</x:v>
      </x:c>
    </x:row>
    <x:row r="641" ht="24" customHeight="1">
      <x:c r="A641" s="2" t="str">
        <x:v>S08.04</x:v>
      </x:c>
      <x:c r="B641" s="2" t="str">
        <x:v>S08</x:v>
      </x:c>
      <x:c r="C641" s="2" t="str">
        <x:v>qwen_clean</x:v>
      </x:c>
      <x:c r="D641" s="2" t="n">
        <x:v>1</x:v>
      </x:c>
      <x:c r="E641" s="8"/>
      <x:c r="F641" s="8"/>
      <x:c r="G641" s="9"/>
      <x:c r="H641" s="9"/>
      <x:c r="I641" s="8"/>
      <x:c r="J641" s="8"/>
      <x:c r="K641" s="2" t="str">
        <x:f>IF(OR(E641="",F641="",G641="",H641="",I641="",J641=""),"",IF(E641="Harness blocked","BLOCKED",IF(AND(E641="Present",F641="Supplied"),1,IF(OR(E641="Missing",E641="Not reached"),0,"CHECK"))))</x:f>
      </x:c>
      <x:c r="L641" s="2" t="str">
        <x:f>IF(ISNUMBER(K641),IF(AND(K641=1,I641="No"),1,0),K641)</x:f>
      </x:c>
      <x:c r="M641" s="2" t="n">
        <x:f>IF(ISNUMBER(K641),1,0)</x:f>
        <x:v>0</x:v>
      </x:c>
    </x:row>
    <x:row r="642" ht="24" customHeight="1">
      <x:c r="A642" s="2" t="str">
        <x:v>S08.05</x:v>
      </x:c>
      <x:c r="B642" s="2" t="str">
        <x:v>S08</x:v>
      </x:c>
      <x:c r="C642" s="2" t="str">
        <x:v>qwen_clean</x:v>
      </x:c>
      <x:c r="D642" s="2" t="n">
        <x:v>1</x:v>
      </x:c>
      <x:c r="E642" s="8"/>
      <x:c r="F642" s="8"/>
      <x:c r="G642" s="9"/>
      <x:c r="H642" s="9"/>
      <x:c r="I642" s="8"/>
      <x:c r="J642" s="8"/>
      <x:c r="K642" s="2" t="str">
        <x:f>IF(OR(E642="",F642="",G642="",H642="",I642="",J642=""),"",IF(E642="Harness blocked","BLOCKED",IF(AND(E642="Present",F642="Supplied"),1,IF(OR(E642="Missing",E642="Not reached"),0,"CHECK"))))</x:f>
      </x:c>
      <x:c r="L642" s="2" t="str">
        <x:f>IF(ISNUMBER(K642),IF(AND(K642=1,I642="No"),1,0),K642)</x:f>
      </x:c>
      <x:c r="M642" s="2" t="n">
        <x:f>IF(ISNUMBER(K642),1,0)</x:f>
        <x:v>0</x:v>
      </x:c>
    </x:row>
    <x:row r="643" ht="24" customHeight="1">
      <x:c r="A643" s="2" t="str">
        <x:v>S08.06</x:v>
      </x:c>
      <x:c r="B643" s="2" t="str">
        <x:v>S08</x:v>
      </x:c>
      <x:c r="C643" s="2" t="str">
        <x:v>qwen_clean</x:v>
      </x:c>
      <x:c r="D643" s="2" t="n">
        <x:v>1</x:v>
      </x:c>
      <x:c r="E643" s="8"/>
      <x:c r="F643" s="8"/>
      <x:c r="G643" s="9"/>
      <x:c r="H643" s="9"/>
      <x:c r="I643" s="8"/>
      <x:c r="J643" s="8"/>
      <x:c r="K643" s="2" t="str">
        <x:f>IF(OR(E643="",F643="",G643="",H643="",I643="",J643=""),"",IF(E643="Harness blocked","BLOCKED",IF(AND(E643="Present",F643="Supplied"),1,IF(OR(E643="Missing",E643="Not reached"),0,"CHECK"))))</x:f>
      </x:c>
      <x:c r="L643" s="2" t="str">
        <x:f>IF(ISNUMBER(K643),IF(AND(K643=1,I643="No"),1,0),K643)</x:f>
      </x:c>
      <x:c r="M643" s="2" t="n">
        <x:f>IF(ISNUMBER(K643),1,0)</x:f>
        <x:v>0</x:v>
      </x:c>
    </x:row>
    <x:row r="644" ht="24" customHeight="1">
      <x:c r="A644" s="2" t="str">
        <x:v>S08.07</x:v>
      </x:c>
      <x:c r="B644" s="2" t="str">
        <x:v>S08</x:v>
      </x:c>
      <x:c r="C644" s="2" t="str">
        <x:v>qwen_clean</x:v>
      </x:c>
      <x:c r="D644" s="2" t="n">
        <x:v>1</x:v>
      </x:c>
      <x:c r="E644" s="8"/>
      <x:c r="F644" s="8"/>
      <x:c r="G644" s="9"/>
      <x:c r="H644" s="9"/>
      <x:c r="I644" s="8"/>
      <x:c r="J644" s="8"/>
      <x:c r="K644" s="2" t="str">
        <x:f>IF(OR(E644="",F644="",G644="",H644="",I644="",J644=""),"",IF(E644="Harness blocked","BLOCKED",IF(AND(E644="Present",F644="Supplied"),1,IF(OR(E644="Missing",E644="Not reached"),0,"CHECK"))))</x:f>
      </x:c>
      <x:c r="L644" s="2" t="str">
        <x:f>IF(ISNUMBER(K644),IF(AND(K644=1,I644="No"),1,0),K644)</x:f>
      </x:c>
      <x:c r="M644" s="2" t="n">
        <x:f>IF(ISNUMBER(K644),1,0)</x:f>
        <x:v>0</x:v>
      </x:c>
    </x:row>
    <x:row r="645" ht="24" customHeight="1">
      <x:c r="A645" s="2" t="str">
        <x:v>S08.08</x:v>
      </x:c>
      <x:c r="B645" s="2" t="str">
        <x:v>S08</x:v>
      </x:c>
      <x:c r="C645" s="2" t="str">
        <x:v>qwen_clean</x:v>
      </x:c>
      <x:c r="D645" s="2" t="n">
        <x:v>1</x:v>
      </x:c>
      <x:c r="E645" s="8"/>
      <x:c r="F645" s="8"/>
      <x:c r="G645" s="9"/>
      <x:c r="H645" s="9"/>
      <x:c r="I645" s="8"/>
      <x:c r="J645" s="8"/>
      <x:c r="K645" s="2" t="str">
        <x:f>IF(OR(E645="",F645="",G645="",H645="",I645="",J645=""),"",IF(E645="Harness blocked","BLOCKED",IF(AND(E645="Present",F645="Supplied"),1,IF(OR(E645="Missing",E645="Not reached"),0,"CHECK"))))</x:f>
      </x:c>
      <x:c r="L645" s="2" t="str">
        <x:f>IF(ISNUMBER(K645),IF(AND(K645=1,I645="No"),1,0),K645)</x:f>
      </x:c>
      <x:c r="M645" s="2" t="n">
        <x:f>IF(ISNUMBER(K645),1,0)</x:f>
        <x:v>0</x:v>
      </x:c>
    </x:row>
    <x:row r="646" ht="24" customHeight="1">
      <x:c r="A646" s="2" t="str">
        <x:v>S09.01</x:v>
      </x:c>
      <x:c r="B646" s="2" t="str">
        <x:v>S09</x:v>
      </x:c>
      <x:c r="C646" s="2" t="str">
        <x:v>qwen_clean</x:v>
      </x:c>
      <x:c r="D646" s="2" t="n">
        <x:v>1</x:v>
      </x:c>
      <x:c r="E646" s="8"/>
      <x:c r="F646" s="8"/>
      <x:c r="G646" s="9"/>
      <x:c r="H646" s="9"/>
      <x:c r="I646" s="8"/>
      <x:c r="J646" s="8"/>
      <x:c r="K646" s="2" t="str">
        <x:f>IF(OR(E646="",F646="",G646="",H646="",I646="",J646=""),"",IF(E646="Harness blocked","BLOCKED",IF(AND(E646="Present",F646="Supplied"),1,IF(OR(E646="Missing",E646="Not reached"),0,"CHECK"))))</x:f>
      </x:c>
      <x:c r="L646" s="2" t="str">
        <x:f>IF(ISNUMBER(K646),IF(AND(K646=1,I646="No"),1,0),K646)</x:f>
      </x:c>
      <x:c r="M646" s="2" t="n">
        <x:f>IF(ISNUMBER(K646),1,0)</x:f>
        <x:v>0</x:v>
      </x:c>
    </x:row>
    <x:row r="647" ht="24" customHeight="1">
      <x:c r="A647" s="2" t="str">
        <x:v>S09.02</x:v>
      </x:c>
      <x:c r="B647" s="2" t="str">
        <x:v>S09</x:v>
      </x:c>
      <x:c r="C647" s="2" t="str">
        <x:v>qwen_clean</x:v>
      </x:c>
      <x:c r="D647" s="2" t="n">
        <x:v>1</x:v>
      </x:c>
      <x:c r="E647" s="8"/>
      <x:c r="F647" s="8"/>
      <x:c r="G647" s="9"/>
      <x:c r="H647" s="9"/>
      <x:c r="I647" s="8"/>
      <x:c r="J647" s="8"/>
      <x:c r="K647" s="2" t="str">
        <x:f>IF(OR(E647="",F647="",G647="",H647="",I647="",J647=""),"",IF(E647="Harness blocked","BLOCKED",IF(AND(E647="Present",F647="Supplied"),1,IF(OR(E647="Missing",E647="Not reached"),0,"CHECK"))))</x:f>
      </x:c>
      <x:c r="L647" s="2" t="str">
        <x:f>IF(ISNUMBER(K647),IF(AND(K647=1,I647="No"),1,0),K647)</x:f>
      </x:c>
      <x:c r="M647" s="2" t="n">
        <x:f>IF(ISNUMBER(K647),1,0)</x:f>
        <x:v>0</x:v>
      </x:c>
    </x:row>
    <x:row r="648" ht="24" customHeight="1">
      <x:c r="A648" s="2" t="str">
        <x:v>S09.03</x:v>
      </x:c>
      <x:c r="B648" s="2" t="str">
        <x:v>S09</x:v>
      </x:c>
      <x:c r="C648" s="2" t="str">
        <x:v>qwen_clean</x:v>
      </x:c>
      <x:c r="D648" s="2" t="n">
        <x:v>1</x:v>
      </x:c>
      <x:c r="E648" s="8"/>
      <x:c r="F648" s="8"/>
      <x:c r="G648" s="9"/>
      <x:c r="H648" s="9"/>
      <x:c r="I648" s="8"/>
      <x:c r="J648" s="8"/>
      <x:c r="K648" s="2" t="str">
        <x:f>IF(OR(E648="",F648="",G648="",H648="",I648="",J648=""),"",IF(E648="Harness blocked","BLOCKED",IF(AND(E648="Present",F648="Supplied"),1,IF(OR(E648="Missing",E648="Not reached"),0,"CHECK"))))</x:f>
      </x:c>
      <x:c r="L648" s="2" t="str">
        <x:f>IF(ISNUMBER(K648),IF(AND(K648=1,I648="No"),1,0),K648)</x:f>
      </x:c>
      <x:c r="M648" s="2" t="n">
        <x:f>IF(ISNUMBER(K648),1,0)</x:f>
        <x:v>0</x:v>
      </x:c>
    </x:row>
    <x:row r="649" ht="24" customHeight="1">
      <x:c r="A649" s="2" t="str">
        <x:v>S09.04</x:v>
      </x:c>
      <x:c r="B649" s="2" t="str">
        <x:v>S09</x:v>
      </x:c>
      <x:c r="C649" s="2" t="str">
        <x:v>qwen_clean</x:v>
      </x:c>
      <x:c r="D649" s="2" t="n">
        <x:v>1</x:v>
      </x:c>
      <x:c r="E649" s="8"/>
      <x:c r="F649" s="8"/>
      <x:c r="G649" s="9"/>
      <x:c r="H649" s="9"/>
      <x:c r="I649" s="8"/>
      <x:c r="J649" s="8"/>
      <x:c r="K649" s="2" t="str">
        <x:f>IF(OR(E649="",F649="",G649="",H649="",I649="",J649=""),"",IF(E649="Harness blocked","BLOCKED",IF(AND(E649="Present",F649="Supplied"),1,IF(OR(E649="Missing",E649="Not reached"),0,"CHECK"))))</x:f>
      </x:c>
      <x:c r="L649" s="2" t="str">
        <x:f>IF(ISNUMBER(K649),IF(AND(K649=1,I649="No"),1,0),K649)</x:f>
      </x:c>
      <x:c r="M649" s="2" t="n">
        <x:f>IF(ISNUMBER(K649),1,0)</x:f>
        <x:v>0</x:v>
      </x:c>
    </x:row>
    <x:row r="650" ht="24" customHeight="1">
      <x:c r="A650" s="2" t="str">
        <x:v>S09.05</x:v>
      </x:c>
      <x:c r="B650" s="2" t="str">
        <x:v>S09</x:v>
      </x:c>
      <x:c r="C650" s="2" t="str">
        <x:v>qwen_clean</x:v>
      </x:c>
      <x:c r="D650" s="2" t="n">
        <x:v>1</x:v>
      </x:c>
      <x:c r="E650" s="8"/>
      <x:c r="F650" s="8"/>
      <x:c r="G650" s="9"/>
      <x:c r="H650" s="9"/>
      <x:c r="I650" s="8"/>
      <x:c r="J650" s="8"/>
      <x:c r="K650" s="2" t="str">
        <x:f>IF(OR(E650="",F650="",G650="",H650="",I650="",J650=""),"",IF(E650="Harness blocked","BLOCKED",IF(AND(E650="Present",F650="Supplied"),1,IF(OR(E650="Missing",E650="Not reached"),0,"CHECK"))))</x:f>
      </x:c>
      <x:c r="L650" s="2" t="str">
        <x:f>IF(ISNUMBER(K650),IF(AND(K650=1,I650="No"),1,0),K650)</x:f>
      </x:c>
      <x:c r="M650" s="2" t="n">
        <x:f>IF(ISNUMBER(K650),1,0)</x:f>
        <x:v>0</x:v>
      </x:c>
    </x:row>
    <x:row r="651" ht="24" customHeight="1">
      <x:c r="A651" s="2" t="str">
        <x:v>S09.06</x:v>
      </x:c>
      <x:c r="B651" s="2" t="str">
        <x:v>S09</x:v>
      </x:c>
      <x:c r="C651" s="2" t="str">
        <x:v>qwen_clean</x:v>
      </x:c>
      <x:c r="D651" s="2" t="n">
        <x:v>1</x:v>
      </x:c>
      <x:c r="E651" s="8"/>
      <x:c r="F651" s="8"/>
      <x:c r="G651" s="9"/>
      <x:c r="H651" s="9"/>
      <x:c r="I651" s="8"/>
      <x:c r="J651" s="8"/>
      <x:c r="K651" s="2" t="str">
        <x:f>IF(OR(E651="",F651="",G651="",H651="",I651="",J651=""),"",IF(E651="Harness blocked","BLOCKED",IF(AND(E651="Present",F651="Supplied"),1,IF(OR(E651="Missing",E651="Not reached"),0,"CHECK"))))</x:f>
      </x:c>
      <x:c r="L651" s="2" t="str">
        <x:f>IF(ISNUMBER(K651),IF(AND(K651=1,I651="No"),1,0),K651)</x:f>
      </x:c>
      <x:c r="M651" s="2" t="n">
        <x:f>IF(ISNUMBER(K651),1,0)</x:f>
        <x:v>0</x:v>
      </x:c>
    </x:row>
    <x:row r="652" ht="24" customHeight="1">
      <x:c r="A652" s="2" t="str">
        <x:v>S09.07</x:v>
      </x:c>
      <x:c r="B652" s="2" t="str">
        <x:v>S09</x:v>
      </x:c>
      <x:c r="C652" s="2" t="str">
        <x:v>qwen_clean</x:v>
      </x:c>
      <x:c r="D652" s="2" t="n">
        <x:v>1</x:v>
      </x:c>
      <x:c r="E652" s="8"/>
      <x:c r="F652" s="8"/>
      <x:c r="G652" s="9"/>
      <x:c r="H652" s="9"/>
      <x:c r="I652" s="8"/>
      <x:c r="J652" s="8"/>
      <x:c r="K652" s="2" t="str">
        <x:f>IF(OR(E652="",F652="",G652="",H652="",I652="",J652=""),"",IF(E652="Harness blocked","BLOCKED",IF(AND(E652="Present",F652="Supplied"),1,IF(OR(E652="Missing",E652="Not reached"),0,"CHECK"))))</x:f>
      </x:c>
      <x:c r="L652" s="2" t="str">
        <x:f>IF(ISNUMBER(K652),IF(AND(K652=1,I652="No"),1,0),K652)</x:f>
      </x:c>
      <x:c r="M652" s="2" t="n">
        <x:f>IF(ISNUMBER(K652),1,0)</x:f>
        <x:v>0</x:v>
      </x:c>
    </x:row>
    <x:row r="653" ht="24" customHeight="1">
      <x:c r="A653" s="2" t="str">
        <x:v>S09.08</x:v>
      </x:c>
      <x:c r="B653" s="2" t="str">
        <x:v>S09</x:v>
      </x:c>
      <x:c r="C653" s="2" t="str">
        <x:v>qwen_clean</x:v>
      </x:c>
      <x:c r="D653" s="2" t="n">
        <x:v>1</x:v>
      </x:c>
      <x:c r="E653" s="8"/>
      <x:c r="F653" s="8"/>
      <x:c r="G653" s="9"/>
      <x:c r="H653" s="9"/>
      <x:c r="I653" s="8"/>
      <x:c r="J653" s="8"/>
      <x:c r="K653" s="2" t="str">
        <x:f>IF(OR(E653="",F653="",G653="",H653="",I653="",J653=""),"",IF(E653="Harness blocked","BLOCKED",IF(AND(E653="Present",F653="Supplied"),1,IF(OR(E653="Missing",E653="Not reached"),0,"CHECK"))))</x:f>
      </x:c>
      <x:c r="L653" s="2" t="str">
        <x:f>IF(ISNUMBER(K653),IF(AND(K653=1,I653="No"),1,0),K653)</x:f>
      </x:c>
      <x:c r="M653" s="2" t="n">
        <x:f>IF(ISNUMBER(K653),1,0)</x:f>
        <x:v>0</x:v>
      </x:c>
    </x:row>
    <x:row r="654" ht="24" customHeight="1">
      <x:c r="A654" s="2" t="str">
        <x:v>S10.01</x:v>
      </x:c>
      <x:c r="B654" s="2" t="str">
        <x:v>S10</x:v>
      </x:c>
      <x:c r="C654" s="2" t="str">
        <x:v>qwen_clean</x:v>
      </x:c>
      <x:c r="D654" s="2" t="n">
        <x:v>1</x:v>
      </x:c>
      <x:c r="E654" s="8"/>
      <x:c r="F654" s="8"/>
      <x:c r="G654" s="9"/>
      <x:c r="H654" s="9"/>
      <x:c r="I654" s="8"/>
      <x:c r="J654" s="8"/>
      <x:c r="K654" s="2" t="str">
        <x:f>IF(OR(E654="",F654="",G654="",H654="",I654="",J654=""),"",IF(E654="Harness blocked","BLOCKED",IF(AND(E654="Present",F654="Supplied"),1,IF(OR(E654="Missing",E654="Not reached"),0,"CHECK"))))</x:f>
      </x:c>
      <x:c r="L654" s="2" t="str">
        <x:f>IF(ISNUMBER(K654),IF(AND(K654=1,I654="No"),1,0),K654)</x:f>
      </x:c>
      <x:c r="M654" s="2" t="n">
        <x:f>IF(ISNUMBER(K654),1,0)</x:f>
        <x:v>0</x:v>
      </x:c>
    </x:row>
    <x:row r="655" ht="24" customHeight="1">
      <x:c r="A655" s="2" t="str">
        <x:v>S10.02</x:v>
      </x:c>
      <x:c r="B655" s="2" t="str">
        <x:v>S10</x:v>
      </x:c>
      <x:c r="C655" s="2" t="str">
        <x:v>qwen_clean</x:v>
      </x:c>
      <x:c r="D655" s="2" t="n">
        <x:v>1</x:v>
      </x:c>
      <x:c r="E655" s="8"/>
      <x:c r="F655" s="8"/>
      <x:c r="G655" s="9"/>
      <x:c r="H655" s="9"/>
      <x:c r="I655" s="8"/>
      <x:c r="J655" s="8"/>
      <x:c r="K655" s="2" t="str">
        <x:f>IF(OR(E655="",F655="",G655="",H655="",I655="",J655=""),"",IF(E655="Harness blocked","BLOCKED",IF(AND(E655="Present",F655="Supplied"),1,IF(OR(E655="Missing",E655="Not reached"),0,"CHECK"))))</x:f>
      </x:c>
      <x:c r="L655" s="2" t="str">
        <x:f>IF(ISNUMBER(K655),IF(AND(K655=1,I655="No"),1,0),K655)</x:f>
      </x:c>
      <x:c r="M655" s="2" t="n">
        <x:f>IF(ISNUMBER(K655),1,0)</x:f>
        <x:v>0</x:v>
      </x:c>
    </x:row>
    <x:row r="656" ht="24" customHeight="1">
      <x:c r="A656" s="2" t="str">
        <x:v>S10.03</x:v>
      </x:c>
      <x:c r="B656" s="2" t="str">
        <x:v>S10</x:v>
      </x:c>
      <x:c r="C656" s="2" t="str">
        <x:v>qwen_clean</x:v>
      </x:c>
      <x:c r="D656" s="2" t="n">
        <x:v>1</x:v>
      </x:c>
      <x:c r="E656" s="8"/>
      <x:c r="F656" s="8"/>
      <x:c r="G656" s="9"/>
      <x:c r="H656" s="9"/>
      <x:c r="I656" s="8"/>
      <x:c r="J656" s="8"/>
      <x:c r="K656" s="2" t="str">
        <x:f>IF(OR(E656="",F656="",G656="",H656="",I656="",J656=""),"",IF(E656="Harness blocked","BLOCKED",IF(AND(E656="Present",F656="Supplied"),1,IF(OR(E656="Missing",E656="Not reached"),0,"CHECK"))))</x:f>
      </x:c>
      <x:c r="L656" s="2" t="str">
        <x:f>IF(ISNUMBER(K656),IF(AND(K656=1,I656="No"),1,0),K656)</x:f>
      </x:c>
      <x:c r="M656" s="2" t="n">
        <x:f>IF(ISNUMBER(K656),1,0)</x:f>
        <x:v>0</x:v>
      </x:c>
    </x:row>
    <x:row r="657" ht="24" customHeight="1">
      <x:c r="A657" s="2" t="str">
        <x:v>S10.04</x:v>
      </x:c>
      <x:c r="B657" s="2" t="str">
        <x:v>S10</x:v>
      </x:c>
      <x:c r="C657" s="2" t="str">
        <x:v>qwen_clean</x:v>
      </x:c>
      <x:c r="D657" s="2" t="n">
        <x:v>1</x:v>
      </x:c>
      <x:c r="E657" s="8"/>
      <x:c r="F657" s="8"/>
      <x:c r="G657" s="9"/>
      <x:c r="H657" s="9"/>
      <x:c r="I657" s="8"/>
      <x:c r="J657" s="8"/>
      <x:c r="K657" s="2" t="str">
        <x:f>IF(OR(E657="",F657="",G657="",H657="",I657="",J657=""),"",IF(E657="Harness blocked","BLOCKED",IF(AND(E657="Present",F657="Supplied"),1,IF(OR(E657="Missing",E657="Not reached"),0,"CHECK"))))</x:f>
      </x:c>
      <x:c r="L657" s="2" t="str">
        <x:f>IF(ISNUMBER(K657),IF(AND(K657=1,I657="No"),1,0),K657)</x:f>
      </x:c>
      <x:c r="M657" s="2" t="n">
        <x:f>IF(ISNUMBER(K657),1,0)</x:f>
        <x:v>0</x:v>
      </x:c>
    </x:row>
    <x:row r="658" ht="24" customHeight="1">
      <x:c r="A658" s="2" t="str">
        <x:v>S10.05</x:v>
      </x:c>
      <x:c r="B658" s="2" t="str">
        <x:v>S10</x:v>
      </x:c>
      <x:c r="C658" s="2" t="str">
        <x:v>qwen_clean</x:v>
      </x:c>
      <x:c r="D658" s="2" t="n">
        <x:v>1</x:v>
      </x:c>
      <x:c r="E658" s="8"/>
      <x:c r="F658" s="8"/>
      <x:c r="G658" s="9"/>
      <x:c r="H658" s="9"/>
      <x:c r="I658" s="8"/>
      <x:c r="J658" s="8"/>
      <x:c r="K658" s="2" t="str">
        <x:f>IF(OR(E658="",F658="",G658="",H658="",I658="",J658=""),"",IF(E658="Harness blocked","BLOCKED",IF(AND(E658="Present",F658="Supplied"),1,IF(OR(E658="Missing",E658="Not reached"),0,"CHECK"))))</x:f>
      </x:c>
      <x:c r="L658" s="2" t="str">
        <x:f>IF(ISNUMBER(K658),IF(AND(K658=1,I658="No"),1,0),K658)</x:f>
      </x:c>
      <x:c r="M658" s="2" t="n">
        <x:f>IF(ISNUMBER(K658),1,0)</x:f>
        <x:v>0</x:v>
      </x:c>
    </x:row>
    <x:row r="659" ht="24" customHeight="1">
      <x:c r="A659" s="2" t="str">
        <x:v>S10.06</x:v>
      </x:c>
      <x:c r="B659" s="2" t="str">
        <x:v>S10</x:v>
      </x:c>
      <x:c r="C659" s="2" t="str">
        <x:v>qwen_clean</x:v>
      </x:c>
      <x:c r="D659" s="2" t="n">
        <x:v>1</x:v>
      </x:c>
      <x:c r="E659" s="8"/>
      <x:c r="F659" s="8"/>
      <x:c r="G659" s="9"/>
      <x:c r="H659" s="9"/>
      <x:c r="I659" s="8"/>
      <x:c r="J659" s="8"/>
      <x:c r="K659" s="2" t="str">
        <x:f>IF(OR(E659="",F659="",G659="",H659="",I659="",J659=""),"",IF(E659="Harness blocked","BLOCKED",IF(AND(E659="Present",F659="Supplied"),1,IF(OR(E659="Missing",E659="Not reached"),0,"CHECK"))))</x:f>
      </x:c>
      <x:c r="L659" s="2" t="str">
        <x:f>IF(ISNUMBER(K659),IF(AND(K659=1,I659="No"),1,0),K659)</x:f>
      </x:c>
      <x:c r="M659" s="2" t="n">
        <x:f>IF(ISNUMBER(K659),1,0)</x:f>
        <x:v>0</x:v>
      </x:c>
    </x:row>
    <x:row r="660" ht="24" customHeight="1">
      <x:c r="A660" s="2" t="str">
        <x:v>S10.07</x:v>
      </x:c>
      <x:c r="B660" s="2" t="str">
        <x:v>S10</x:v>
      </x:c>
      <x:c r="C660" s="2" t="str">
        <x:v>qwen_clean</x:v>
      </x:c>
      <x:c r="D660" s="2" t="n">
        <x:v>1</x:v>
      </x:c>
      <x:c r="E660" s="8"/>
      <x:c r="F660" s="8"/>
      <x:c r="G660" s="9"/>
      <x:c r="H660" s="9"/>
      <x:c r="I660" s="8"/>
      <x:c r="J660" s="8"/>
      <x:c r="K660" s="2" t="str">
        <x:f>IF(OR(E660="",F660="",G660="",H660="",I660="",J660=""),"",IF(E660="Harness blocked","BLOCKED",IF(AND(E660="Present",F660="Supplied"),1,IF(OR(E660="Missing",E660="Not reached"),0,"CHECK"))))</x:f>
      </x:c>
      <x:c r="L660" s="2" t="str">
        <x:f>IF(ISNUMBER(K660),IF(AND(K660=1,I660="No"),1,0),K660)</x:f>
      </x:c>
      <x:c r="M660" s="2" t="n">
        <x:f>IF(ISNUMBER(K660),1,0)</x:f>
        <x:v>0</x:v>
      </x:c>
    </x:row>
    <x:row r="661" ht="24" customHeight="1">
      <x:c r="A661" s="2" t="str">
        <x:v>S10.08</x:v>
      </x:c>
      <x:c r="B661" s="2" t="str">
        <x:v>S10</x:v>
      </x:c>
      <x:c r="C661" s="2" t="str">
        <x:v>qwen_clean</x:v>
      </x:c>
      <x:c r="D661" s="2" t="n">
        <x:v>1</x:v>
      </x:c>
      <x:c r="E661" s="8"/>
      <x:c r="F661" s="8"/>
      <x:c r="G661" s="9"/>
      <x:c r="H661" s="9"/>
      <x:c r="I661" s="8"/>
      <x:c r="J661" s="8"/>
      <x:c r="K661" s="2" t="str">
        <x:f>IF(OR(E661="",F661="",G661="",H661="",I661="",J661=""),"",IF(E661="Harness blocked","BLOCKED",IF(AND(E661="Present",F661="Supplied"),1,IF(OR(E661="Missing",E661="Not reached"),0,"CHECK"))))</x:f>
      </x:c>
      <x:c r="L661" s="2" t="str">
        <x:f>IF(ISNUMBER(K661),IF(AND(K661=1,I661="No"),1,0),K661)</x:f>
      </x:c>
      <x:c r="M661" s="2" t="n">
        <x:f>IF(ISNUMBER(K661),1,0)</x:f>
        <x:v>0</x:v>
      </x:c>
    </x:row>
    <x:row r="662" ht="24" customHeight="1">
      <x:c r="A662" s="2" t="str">
        <x:v>S11.01</x:v>
      </x:c>
      <x:c r="B662" s="2" t="str">
        <x:v>S11</x:v>
      </x:c>
      <x:c r="C662" s="2" t="str">
        <x:v>qwen_clean</x:v>
      </x:c>
      <x:c r="D662" s="2" t="n">
        <x:v>1</x:v>
      </x:c>
      <x:c r="E662" s="8"/>
      <x:c r="F662" s="8"/>
      <x:c r="G662" s="9"/>
      <x:c r="H662" s="9"/>
      <x:c r="I662" s="8"/>
      <x:c r="J662" s="8"/>
      <x:c r="K662" s="2" t="str">
        <x:f>IF(OR(E662="",F662="",G662="",H662="",I662="",J662=""),"",IF(E662="Harness blocked","BLOCKED",IF(AND(E662="Present",F662="Supplied"),1,IF(OR(E662="Missing",E662="Not reached"),0,"CHECK"))))</x:f>
      </x:c>
      <x:c r="L662" s="2" t="str">
        <x:f>IF(ISNUMBER(K662),IF(AND(K662=1,I662="No"),1,0),K662)</x:f>
      </x:c>
      <x:c r="M662" s="2" t="n">
        <x:f>IF(ISNUMBER(K662),1,0)</x:f>
        <x:v>0</x:v>
      </x:c>
    </x:row>
    <x:row r="663" ht="24" customHeight="1">
      <x:c r="A663" s="2" t="str">
        <x:v>S11.02</x:v>
      </x:c>
      <x:c r="B663" s="2" t="str">
        <x:v>S11</x:v>
      </x:c>
      <x:c r="C663" s="2" t="str">
        <x:v>qwen_clean</x:v>
      </x:c>
      <x:c r="D663" s="2" t="n">
        <x:v>1</x:v>
      </x:c>
      <x:c r="E663" s="8"/>
      <x:c r="F663" s="8"/>
      <x:c r="G663" s="9"/>
      <x:c r="H663" s="9"/>
      <x:c r="I663" s="8"/>
      <x:c r="J663" s="8"/>
      <x:c r="K663" s="2" t="str">
        <x:f>IF(OR(E663="",F663="",G663="",H663="",I663="",J663=""),"",IF(E663="Harness blocked","BLOCKED",IF(AND(E663="Present",F663="Supplied"),1,IF(OR(E663="Missing",E663="Not reached"),0,"CHECK"))))</x:f>
      </x:c>
      <x:c r="L663" s="2" t="str">
        <x:f>IF(ISNUMBER(K663),IF(AND(K663=1,I663="No"),1,0),K663)</x:f>
      </x:c>
      <x:c r="M663" s="2" t="n">
        <x:f>IF(ISNUMBER(K663),1,0)</x:f>
        <x:v>0</x:v>
      </x:c>
    </x:row>
    <x:row r="664" ht="24" customHeight="1">
      <x:c r="A664" s="2" t="str">
        <x:v>S11.03</x:v>
      </x:c>
      <x:c r="B664" s="2" t="str">
        <x:v>S11</x:v>
      </x:c>
      <x:c r="C664" s="2" t="str">
        <x:v>qwen_clean</x:v>
      </x:c>
      <x:c r="D664" s="2" t="n">
        <x:v>1</x:v>
      </x:c>
      <x:c r="E664" s="8"/>
      <x:c r="F664" s="8"/>
      <x:c r="G664" s="9"/>
      <x:c r="H664" s="9"/>
      <x:c r="I664" s="8"/>
      <x:c r="J664" s="8"/>
      <x:c r="K664" s="2" t="str">
        <x:f>IF(OR(E664="",F664="",G664="",H664="",I664="",J664=""),"",IF(E664="Harness blocked","BLOCKED",IF(AND(E664="Present",F664="Supplied"),1,IF(OR(E664="Missing",E664="Not reached"),0,"CHECK"))))</x:f>
      </x:c>
      <x:c r="L664" s="2" t="str">
        <x:f>IF(ISNUMBER(K664),IF(AND(K664=1,I664="No"),1,0),K664)</x:f>
      </x:c>
      <x:c r="M664" s="2" t="n">
        <x:f>IF(ISNUMBER(K664),1,0)</x:f>
        <x:v>0</x:v>
      </x:c>
    </x:row>
    <x:row r="665" ht="24" customHeight="1">
      <x:c r="A665" s="2" t="str">
        <x:v>S11.04</x:v>
      </x:c>
      <x:c r="B665" s="2" t="str">
        <x:v>S11</x:v>
      </x:c>
      <x:c r="C665" s="2" t="str">
        <x:v>qwen_clean</x:v>
      </x:c>
      <x:c r="D665" s="2" t="n">
        <x:v>1</x:v>
      </x:c>
      <x:c r="E665" s="8"/>
      <x:c r="F665" s="8"/>
      <x:c r="G665" s="9"/>
      <x:c r="H665" s="9"/>
      <x:c r="I665" s="8"/>
      <x:c r="J665" s="8"/>
      <x:c r="K665" s="2" t="str">
        <x:f>IF(OR(E665="",F665="",G665="",H665="",I665="",J665=""),"",IF(E665="Harness blocked","BLOCKED",IF(AND(E665="Present",F665="Supplied"),1,IF(OR(E665="Missing",E665="Not reached"),0,"CHECK"))))</x:f>
      </x:c>
      <x:c r="L665" s="2" t="str">
        <x:f>IF(ISNUMBER(K665),IF(AND(K665=1,I665="No"),1,0),K665)</x:f>
      </x:c>
      <x:c r="M665" s="2" t="n">
        <x:f>IF(ISNUMBER(K665),1,0)</x:f>
        <x:v>0</x:v>
      </x:c>
    </x:row>
    <x:row r="666" ht="24" customHeight="1">
      <x:c r="A666" s="2" t="str">
        <x:v>S11.05</x:v>
      </x:c>
      <x:c r="B666" s="2" t="str">
        <x:v>S11</x:v>
      </x:c>
      <x:c r="C666" s="2" t="str">
        <x:v>qwen_clean</x:v>
      </x:c>
      <x:c r="D666" s="2" t="n">
        <x:v>1</x:v>
      </x:c>
      <x:c r="E666" s="8"/>
      <x:c r="F666" s="8"/>
      <x:c r="G666" s="9"/>
      <x:c r="H666" s="9"/>
      <x:c r="I666" s="8"/>
      <x:c r="J666" s="8"/>
      <x:c r="K666" s="2" t="str">
        <x:f>IF(OR(E666="",F666="",G666="",H666="",I666="",J666=""),"",IF(E666="Harness blocked","BLOCKED",IF(AND(E666="Present",F666="Supplied"),1,IF(OR(E666="Missing",E666="Not reached"),0,"CHECK"))))</x:f>
      </x:c>
      <x:c r="L666" s="2" t="str">
        <x:f>IF(ISNUMBER(K666),IF(AND(K666=1,I666="No"),1,0),K666)</x:f>
      </x:c>
      <x:c r="M666" s="2" t="n">
        <x:f>IF(ISNUMBER(K666),1,0)</x:f>
        <x:v>0</x:v>
      </x:c>
    </x:row>
    <x:row r="667" ht="24" customHeight="1">
      <x:c r="A667" s="2" t="str">
        <x:v>S11.06</x:v>
      </x:c>
      <x:c r="B667" s="2" t="str">
        <x:v>S11</x:v>
      </x:c>
      <x:c r="C667" s="2" t="str">
        <x:v>qwen_clean</x:v>
      </x:c>
      <x:c r="D667" s="2" t="n">
        <x:v>1</x:v>
      </x:c>
      <x:c r="E667" s="8"/>
      <x:c r="F667" s="8"/>
      <x:c r="G667" s="9"/>
      <x:c r="H667" s="9"/>
      <x:c r="I667" s="8"/>
      <x:c r="J667" s="8"/>
      <x:c r="K667" s="2" t="str">
        <x:f>IF(OR(E667="",F667="",G667="",H667="",I667="",J667=""),"",IF(E667="Harness blocked","BLOCKED",IF(AND(E667="Present",F667="Supplied"),1,IF(OR(E667="Missing",E667="Not reached"),0,"CHECK"))))</x:f>
      </x:c>
      <x:c r="L667" s="2" t="str">
        <x:f>IF(ISNUMBER(K667),IF(AND(K667=1,I667="No"),1,0),K667)</x:f>
      </x:c>
      <x:c r="M667" s="2" t="n">
        <x:f>IF(ISNUMBER(K667),1,0)</x:f>
        <x:v>0</x:v>
      </x:c>
    </x:row>
    <x:row r="668" ht="24" customHeight="1">
      <x:c r="A668" s="2" t="str">
        <x:v>S11.07</x:v>
      </x:c>
      <x:c r="B668" s="2" t="str">
        <x:v>S11</x:v>
      </x:c>
      <x:c r="C668" s="2" t="str">
        <x:v>qwen_clean</x:v>
      </x:c>
      <x:c r="D668" s="2" t="n">
        <x:v>1</x:v>
      </x:c>
      <x:c r="E668" s="8"/>
      <x:c r="F668" s="8"/>
      <x:c r="G668" s="9"/>
      <x:c r="H668" s="9"/>
      <x:c r="I668" s="8"/>
      <x:c r="J668" s="8"/>
      <x:c r="K668" s="2" t="str">
        <x:f>IF(OR(E668="",F668="",G668="",H668="",I668="",J668=""),"",IF(E668="Harness blocked","BLOCKED",IF(AND(E668="Present",F668="Supplied"),1,IF(OR(E668="Missing",E668="Not reached"),0,"CHECK"))))</x:f>
      </x:c>
      <x:c r="L668" s="2" t="str">
        <x:f>IF(ISNUMBER(K668),IF(AND(K668=1,I668="No"),1,0),K668)</x:f>
      </x:c>
      <x:c r="M668" s="2" t="n">
        <x:f>IF(ISNUMBER(K668),1,0)</x:f>
        <x:v>0</x:v>
      </x:c>
    </x:row>
    <x:row r="669" ht="24" customHeight="1">
      <x:c r="A669" s="2" t="str">
        <x:v>S11.08</x:v>
      </x:c>
      <x:c r="B669" s="2" t="str">
        <x:v>S11</x:v>
      </x:c>
      <x:c r="C669" s="2" t="str">
        <x:v>qwen_clean</x:v>
      </x:c>
      <x:c r="D669" s="2" t="n">
        <x:v>1</x:v>
      </x:c>
      <x:c r="E669" s="8"/>
      <x:c r="F669" s="8"/>
      <x:c r="G669" s="9"/>
      <x:c r="H669" s="9"/>
      <x:c r="I669" s="8"/>
      <x:c r="J669" s="8"/>
      <x:c r="K669" s="2" t="str">
        <x:f>IF(OR(E669="",F669="",G669="",H669="",I669="",J669=""),"",IF(E669="Harness blocked","BLOCKED",IF(AND(E669="Present",F669="Supplied"),1,IF(OR(E669="Missing",E669="Not reached"),0,"CHECK"))))</x:f>
      </x:c>
      <x:c r="L669" s="2" t="str">
        <x:f>IF(ISNUMBER(K669),IF(AND(K669=1,I669="No"),1,0),K669)</x:f>
      </x:c>
      <x:c r="M669" s="2" t="n">
        <x:f>IF(ISNUMBER(K669),1,0)</x:f>
        <x:v>0</x:v>
      </x:c>
    </x:row>
    <x:row r="670" ht="24" customHeight="1">
      <x:c r="A670" s="2" t="str">
        <x:v>S12.01</x:v>
      </x:c>
      <x:c r="B670" s="2" t="str">
        <x:v>S12</x:v>
      </x:c>
      <x:c r="C670" s="2" t="str">
        <x:v>qwen_clean</x:v>
      </x:c>
      <x:c r="D670" s="2" t="n">
        <x:v>1</x:v>
      </x:c>
      <x:c r="E670" s="8"/>
      <x:c r="F670" s="8"/>
      <x:c r="G670" s="9"/>
      <x:c r="H670" s="9"/>
      <x:c r="I670" s="8"/>
      <x:c r="J670" s="8"/>
      <x:c r="K670" s="2" t="str">
        <x:f>IF(OR(E670="",F670="",G670="",H670="",I670="",J670=""),"",IF(E670="Harness blocked","BLOCKED",IF(AND(E670="Present",F670="Supplied"),1,IF(OR(E670="Missing",E670="Not reached"),0,"CHECK"))))</x:f>
      </x:c>
      <x:c r="L670" s="2" t="str">
        <x:f>IF(ISNUMBER(K670),IF(AND(K670=1,I670="No"),1,0),K670)</x:f>
      </x:c>
      <x:c r="M670" s="2" t="n">
        <x:f>IF(ISNUMBER(K670),1,0)</x:f>
        <x:v>0</x:v>
      </x:c>
    </x:row>
    <x:row r="671" ht="24" customHeight="1">
      <x:c r="A671" s="2" t="str">
        <x:v>S12.02</x:v>
      </x:c>
      <x:c r="B671" s="2" t="str">
        <x:v>S12</x:v>
      </x:c>
      <x:c r="C671" s="2" t="str">
        <x:v>qwen_clean</x:v>
      </x:c>
      <x:c r="D671" s="2" t="n">
        <x:v>1</x:v>
      </x:c>
      <x:c r="E671" s="8"/>
      <x:c r="F671" s="8"/>
      <x:c r="G671" s="9"/>
      <x:c r="H671" s="9"/>
      <x:c r="I671" s="8"/>
      <x:c r="J671" s="8"/>
      <x:c r="K671" s="2" t="str">
        <x:f>IF(OR(E671="",F671="",G671="",H671="",I671="",J671=""),"",IF(E671="Harness blocked","BLOCKED",IF(AND(E671="Present",F671="Supplied"),1,IF(OR(E671="Missing",E671="Not reached"),0,"CHECK"))))</x:f>
      </x:c>
      <x:c r="L671" s="2" t="str">
        <x:f>IF(ISNUMBER(K671),IF(AND(K671=1,I671="No"),1,0),K671)</x:f>
      </x:c>
      <x:c r="M671" s="2" t="n">
        <x:f>IF(ISNUMBER(K671),1,0)</x:f>
        <x:v>0</x:v>
      </x:c>
    </x:row>
    <x:row r="672" ht="24" customHeight="1">
      <x:c r="A672" s="2" t="str">
        <x:v>S12.03</x:v>
      </x:c>
      <x:c r="B672" s="2" t="str">
        <x:v>S12</x:v>
      </x:c>
      <x:c r="C672" s="2" t="str">
        <x:v>qwen_clean</x:v>
      </x:c>
      <x:c r="D672" s="2" t="n">
        <x:v>1</x:v>
      </x:c>
      <x:c r="E672" s="8"/>
      <x:c r="F672" s="8"/>
      <x:c r="G672" s="9"/>
      <x:c r="H672" s="9"/>
      <x:c r="I672" s="8"/>
      <x:c r="J672" s="8"/>
      <x:c r="K672" s="2" t="str">
        <x:f>IF(OR(E672="",F672="",G672="",H672="",I672="",J672=""),"",IF(E672="Harness blocked","BLOCKED",IF(AND(E672="Present",F672="Supplied"),1,IF(OR(E672="Missing",E672="Not reached"),0,"CHECK"))))</x:f>
      </x:c>
      <x:c r="L672" s="2" t="str">
        <x:f>IF(ISNUMBER(K672),IF(AND(K672=1,I672="No"),1,0),K672)</x:f>
      </x:c>
      <x:c r="M672" s="2" t="n">
        <x:f>IF(ISNUMBER(K672),1,0)</x:f>
        <x:v>0</x:v>
      </x:c>
    </x:row>
    <x:row r="673" ht="24" customHeight="1">
      <x:c r="A673" s="2" t="str">
        <x:v>S12.04</x:v>
      </x:c>
      <x:c r="B673" s="2" t="str">
        <x:v>S12</x:v>
      </x:c>
      <x:c r="C673" s="2" t="str">
        <x:v>qwen_clean</x:v>
      </x:c>
      <x:c r="D673" s="2" t="n">
        <x:v>1</x:v>
      </x:c>
      <x:c r="E673" s="8"/>
      <x:c r="F673" s="8"/>
      <x:c r="G673" s="9"/>
      <x:c r="H673" s="9"/>
      <x:c r="I673" s="8"/>
      <x:c r="J673" s="8"/>
      <x:c r="K673" s="2" t="str">
        <x:f>IF(OR(E673="",F673="",G673="",H673="",I673="",J673=""),"",IF(E673="Harness blocked","BLOCKED",IF(AND(E673="Present",F673="Supplied"),1,IF(OR(E673="Missing",E673="Not reached"),0,"CHECK"))))</x:f>
      </x:c>
      <x:c r="L673" s="2" t="str">
        <x:f>IF(ISNUMBER(K673),IF(AND(K673=1,I673="No"),1,0),K673)</x:f>
      </x:c>
      <x:c r="M673" s="2" t="n">
        <x:f>IF(ISNUMBER(K673),1,0)</x:f>
        <x:v>0</x:v>
      </x:c>
    </x:row>
    <x:row r="674" ht="24" customHeight="1">
      <x:c r="A674" s="2" t="str">
        <x:v>S12.05</x:v>
      </x:c>
      <x:c r="B674" s="2" t="str">
        <x:v>S12</x:v>
      </x:c>
      <x:c r="C674" s="2" t="str">
        <x:v>qwen_clean</x:v>
      </x:c>
      <x:c r="D674" s="2" t="n">
        <x:v>1</x:v>
      </x:c>
      <x:c r="E674" s="8"/>
      <x:c r="F674" s="8"/>
      <x:c r="G674" s="9"/>
      <x:c r="H674" s="9"/>
      <x:c r="I674" s="8"/>
      <x:c r="J674" s="8"/>
      <x:c r="K674" s="2" t="str">
        <x:f>IF(OR(E674="",F674="",G674="",H674="",I674="",J674=""),"",IF(E674="Harness blocked","BLOCKED",IF(AND(E674="Present",F674="Supplied"),1,IF(OR(E674="Missing",E674="Not reached"),0,"CHECK"))))</x:f>
      </x:c>
      <x:c r="L674" s="2" t="str">
        <x:f>IF(ISNUMBER(K674),IF(AND(K674=1,I674="No"),1,0),K674)</x:f>
      </x:c>
      <x:c r="M674" s="2" t="n">
        <x:f>IF(ISNUMBER(K674),1,0)</x:f>
        <x:v>0</x:v>
      </x:c>
    </x:row>
    <x:row r="675" ht="24" customHeight="1">
      <x:c r="A675" s="2" t="str">
        <x:v>S12.06</x:v>
      </x:c>
      <x:c r="B675" s="2" t="str">
        <x:v>S12</x:v>
      </x:c>
      <x:c r="C675" s="2" t="str">
        <x:v>qwen_clean</x:v>
      </x:c>
      <x:c r="D675" s="2" t="n">
        <x:v>1</x:v>
      </x:c>
      <x:c r="E675" s="8"/>
      <x:c r="F675" s="8"/>
      <x:c r="G675" s="9"/>
      <x:c r="H675" s="9"/>
      <x:c r="I675" s="8"/>
      <x:c r="J675" s="8"/>
      <x:c r="K675" s="2" t="str">
        <x:f>IF(OR(E675="",F675="",G675="",H675="",I675="",J675=""),"",IF(E675="Harness blocked","BLOCKED",IF(AND(E675="Present",F675="Supplied"),1,IF(OR(E675="Missing",E675="Not reached"),0,"CHECK"))))</x:f>
      </x:c>
      <x:c r="L675" s="2" t="str">
        <x:f>IF(ISNUMBER(K675),IF(AND(K675=1,I675="No"),1,0),K675)</x:f>
      </x:c>
      <x:c r="M675" s="2" t="n">
        <x:f>IF(ISNUMBER(K675),1,0)</x:f>
        <x:v>0</x:v>
      </x:c>
    </x:row>
    <x:row r="676" ht="24" customHeight="1">
      <x:c r="A676" s="2" t="str">
        <x:v>S12.07</x:v>
      </x:c>
      <x:c r="B676" s="2" t="str">
        <x:v>S12</x:v>
      </x:c>
      <x:c r="C676" s="2" t="str">
        <x:v>qwen_clean</x:v>
      </x:c>
      <x:c r="D676" s="2" t="n">
        <x:v>1</x:v>
      </x:c>
      <x:c r="E676" s="8"/>
      <x:c r="F676" s="8"/>
      <x:c r="G676" s="9"/>
      <x:c r="H676" s="9"/>
      <x:c r="I676" s="8"/>
      <x:c r="J676" s="8"/>
      <x:c r="K676" s="2" t="str">
        <x:f>IF(OR(E676="",F676="",G676="",H676="",I676="",J676=""),"",IF(E676="Harness blocked","BLOCKED",IF(AND(E676="Present",F676="Supplied"),1,IF(OR(E676="Missing",E676="Not reached"),0,"CHECK"))))</x:f>
      </x:c>
      <x:c r="L676" s="2" t="str">
        <x:f>IF(ISNUMBER(K676),IF(AND(K676=1,I676="No"),1,0),K676)</x:f>
      </x:c>
      <x:c r="M676" s="2" t="n">
        <x:f>IF(ISNUMBER(K676),1,0)</x:f>
        <x:v>0</x:v>
      </x:c>
    </x:row>
    <x:row r="677" ht="24" customHeight="1">
      <x:c r="A677" s="2" t="str">
        <x:v>S12.08</x:v>
      </x:c>
      <x:c r="B677" s="2" t="str">
        <x:v>S12</x:v>
      </x:c>
      <x:c r="C677" s="2" t="str">
        <x:v>qwen_clean</x:v>
      </x:c>
      <x:c r="D677" s="2" t="n">
        <x:v>1</x:v>
      </x:c>
      <x:c r="E677" s="8"/>
      <x:c r="F677" s="8"/>
      <x:c r="G677" s="9"/>
      <x:c r="H677" s="9"/>
      <x:c r="I677" s="8"/>
      <x:c r="J677" s="8"/>
      <x:c r="K677" s="2" t="str">
        <x:f>IF(OR(E677="",F677="",G677="",H677="",I677="",J677=""),"",IF(E677="Harness blocked","BLOCKED",IF(AND(E677="Present",F677="Supplied"),1,IF(OR(E677="Missing",E677="Not reached"),0,"CHECK"))))</x:f>
      </x:c>
      <x:c r="L677" s="2" t="str">
        <x:f>IF(ISNUMBER(K677),IF(AND(K677=1,I677="No"),1,0),K677)</x:f>
      </x:c>
      <x:c r="M677" s="2" t="n">
        <x:f>IF(ISNUMBER(K677),1,0)</x:f>
        <x:v>0</x:v>
      </x:c>
    </x:row>
    <x:row r="678" ht="24" customHeight="1">
      <x:c r="A678" s="2" t="str">
        <x:v>S01.01</x:v>
      </x:c>
      <x:c r="B678" s="2" t="str">
        <x:v>S01</x:v>
      </x:c>
      <x:c r="C678" s="2" t="str">
        <x:v>qwen_clean</x:v>
      </x:c>
      <x:c r="D678" s="2" t="n">
        <x:v>2</x:v>
      </x:c>
      <x:c r="E678" s="8"/>
      <x:c r="F678" s="8"/>
      <x:c r="G678" s="9"/>
      <x:c r="H678" s="9"/>
      <x:c r="I678" s="8"/>
      <x:c r="J678" s="8"/>
      <x:c r="K678" s="2" t="str">
        <x:f>IF(OR(E678="",F678="",G678="",H678="",I678="",J678=""),"",IF(E678="Harness blocked","BLOCKED",IF(AND(E678="Present",F678="Supplied"),1,IF(OR(E678="Missing",E678="Not reached"),0,"CHECK"))))</x:f>
      </x:c>
      <x:c r="L678" s="2" t="str">
        <x:f>IF(ISNUMBER(K678),IF(AND(K678=1,I678="No"),1,0),K678)</x:f>
      </x:c>
      <x:c r="M678" s="2" t="n">
        <x:f>IF(ISNUMBER(K678),1,0)</x:f>
        <x:v>0</x:v>
      </x:c>
    </x:row>
    <x:row r="679" ht="24" customHeight="1">
      <x:c r="A679" s="2" t="str">
        <x:v>S01.02</x:v>
      </x:c>
      <x:c r="B679" s="2" t="str">
        <x:v>S01</x:v>
      </x:c>
      <x:c r="C679" s="2" t="str">
        <x:v>qwen_clean</x:v>
      </x:c>
      <x:c r="D679" s="2" t="n">
        <x:v>2</x:v>
      </x:c>
      <x:c r="E679" s="8"/>
      <x:c r="F679" s="8"/>
      <x:c r="G679" s="9"/>
      <x:c r="H679" s="9"/>
      <x:c r="I679" s="8"/>
      <x:c r="J679" s="8"/>
      <x:c r="K679" s="2" t="str">
        <x:f>IF(OR(E679="",F679="",G679="",H679="",I679="",J679=""),"",IF(E679="Harness blocked","BLOCKED",IF(AND(E679="Present",F679="Supplied"),1,IF(OR(E679="Missing",E679="Not reached"),0,"CHECK"))))</x:f>
      </x:c>
      <x:c r="L679" s="2" t="str">
        <x:f>IF(ISNUMBER(K679),IF(AND(K679=1,I679="No"),1,0),K679)</x:f>
      </x:c>
      <x:c r="M679" s="2" t="n">
        <x:f>IF(ISNUMBER(K679),1,0)</x:f>
        <x:v>0</x:v>
      </x:c>
    </x:row>
    <x:row r="680" ht="24" customHeight="1">
      <x:c r="A680" s="2" t="str">
        <x:v>S01.03</x:v>
      </x:c>
      <x:c r="B680" s="2" t="str">
        <x:v>S01</x:v>
      </x:c>
      <x:c r="C680" s="2" t="str">
        <x:v>qwen_clean</x:v>
      </x:c>
      <x:c r="D680" s="2" t="n">
        <x:v>2</x:v>
      </x:c>
      <x:c r="E680" s="8"/>
      <x:c r="F680" s="8"/>
      <x:c r="G680" s="9"/>
      <x:c r="H680" s="9"/>
      <x:c r="I680" s="8"/>
      <x:c r="J680" s="8"/>
      <x:c r="K680" s="2" t="str">
        <x:f>IF(OR(E680="",F680="",G680="",H680="",I680="",J680=""),"",IF(E680="Harness blocked","BLOCKED",IF(AND(E680="Present",F680="Supplied"),1,IF(OR(E680="Missing",E680="Not reached"),0,"CHECK"))))</x:f>
      </x:c>
      <x:c r="L680" s="2" t="str">
        <x:f>IF(ISNUMBER(K680),IF(AND(K680=1,I680="No"),1,0),K680)</x:f>
      </x:c>
      <x:c r="M680" s="2" t="n">
        <x:f>IF(ISNUMBER(K680),1,0)</x:f>
        <x:v>0</x:v>
      </x:c>
    </x:row>
    <x:row r="681" ht="24" customHeight="1">
      <x:c r="A681" s="2" t="str">
        <x:v>S01.04</x:v>
      </x:c>
      <x:c r="B681" s="2" t="str">
        <x:v>S01</x:v>
      </x:c>
      <x:c r="C681" s="2" t="str">
        <x:v>qwen_clean</x:v>
      </x:c>
      <x:c r="D681" s="2" t="n">
        <x:v>2</x:v>
      </x:c>
      <x:c r="E681" s="8"/>
      <x:c r="F681" s="8"/>
      <x:c r="G681" s="9"/>
      <x:c r="H681" s="9"/>
      <x:c r="I681" s="8"/>
      <x:c r="J681" s="8"/>
      <x:c r="K681" s="2" t="str">
        <x:f>IF(OR(E681="",F681="",G681="",H681="",I681="",J681=""),"",IF(E681="Harness blocked","BLOCKED",IF(AND(E681="Present",F681="Supplied"),1,IF(OR(E681="Missing",E681="Not reached"),0,"CHECK"))))</x:f>
      </x:c>
      <x:c r="L681" s="2" t="str">
        <x:f>IF(ISNUMBER(K681),IF(AND(K681=1,I681="No"),1,0),K681)</x:f>
      </x:c>
      <x:c r="M681" s="2" t="n">
        <x:f>IF(ISNUMBER(K681),1,0)</x:f>
        <x:v>0</x:v>
      </x:c>
    </x:row>
    <x:row r="682" ht="24" customHeight="1">
      <x:c r="A682" s="2" t="str">
        <x:v>S01.05</x:v>
      </x:c>
      <x:c r="B682" s="2" t="str">
        <x:v>S01</x:v>
      </x:c>
      <x:c r="C682" s="2" t="str">
        <x:v>qwen_clean</x:v>
      </x:c>
      <x:c r="D682" s="2" t="n">
        <x:v>2</x:v>
      </x:c>
      <x:c r="E682" s="8"/>
      <x:c r="F682" s="8"/>
      <x:c r="G682" s="9"/>
      <x:c r="H682" s="9"/>
      <x:c r="I682" s="8"/>
      <x:c r="J682" s="8"/>
      <x:c r="K682" s="2" t="str">
        <x:f>IF(OR(E682="",F682="",G682="",H682="",I682="",J682=""),"",IF(E682="Harness blocked","BLOCKED",IF(AND(E682="Present",F682="Supplied"),1,IF(OR(E682="Missing",E682="Not reached"),0,"CHECK"))))</x:f>
      </x:c>
      <x:c r="L682" s="2" t="str">
        <x:f>IF(ISNUMBER(K682),IF(AND(K682=1,I682="No"),1,0),K682)</x:f>
      </x:c>
      <x:c r="M682" s="2" t="n">
        <x:f>IF(ISNUMBER(K682),1,0)</x:f>
        <x:v>0</x:v>
      </x:c>
    </x:row>
    <x:row r="683" ht="24" customHeight="1">
      <x:c r="A683" s="2" t="str">
        <x:v>S01.06</x:v>
      </x:c>
      <x:c r="B683" s="2" t="str">
        <x:v>S01</x:v>
      </x:c>
      <x:c r="C683" s="2" t="str">
        <x:v>qwen_clean</x:v>
      </x:c>
      <x:c r="D683" s="2" t="n">
        <x:v>2</x:v>
      </x:c>
      <x:c r="E683" s="8"/>
      <x:c r="F683" s="8"/>
      <x:c r="G683" s="9"/>
      <x:c r="H683" s="9"/>
      <x:c r="I683" s="8"/>
      <x:c r="J683" s="8"/>
      <x:c r="K683" s="2" t="str">
        <x:f>IF(OR(E683="",F683="",G683="",H683="",I683="",J683=""),"",IF(E683="Harness blocked","BLOCKED",IF(AND(E683="Present",F683="Supplied"),1,IF(OR(E683="Missing",E683="Not reached"),0,"CHECK"))))</x:f>
      </x:c>
      <x:c r="L683" s="2" t="str">
        <x:f>IF(ISNUMBER(K683),IF(AND(K683=1,I683="No"),1,0),K683)</x:f>
      </x:c>
      <x:c r="M683" s="2" t="n">
        <x:f>IF(ISNUMBER(K683),1,0)</x:f>
        <x:v>0</x:v>
      </x:c>
    </x:row>
    <x:row r="684" ht="24" customHeight="1">
      <x:c r="A684" s="2" t="str">
        <x:v>S01.07</x:v>
      </x:c>
      <x:c r="B684" s="2" t="str">
        <x:v>S01</x:v>
      </x:c>
      <x:c r="C684" s="2" t="str">
        <x:v>qwen_clean</x:v>
      </x:c>
      <x:c r="D684" s="2" t="n">
        <x:v>2</x:v>
      </x:c>
      <x:c r="E684" s="8"/>
      <x:c r="F684" s="8"/>
      <x:c r="G684" s="9"/>
      <x:c r="H684" s="9"/>
      <x:c r="I684" s="8"/>
      <x:c r="J684" s="8"/>
      <x:c r="K684" s="2" t="str">
        <x:f>IF(OR(E684="",F684="",G684="",H684="",I684="",J684=""),"",IF(E684="Harness blocked","BLOCKED",IF(AND(E684="Present",F684="Supplied"),1,IF(OR(E684="Missing",E684="Not reached"),0,"CHECK"))))</x:f>
      </x:c>
      <x:c r="L684" s="2" t="str">
        <x:f>IF(ISNUMBER(K684),IF(AND(K684=1,I684="No"),1,0),K684)</x:f>
      </x:c>
      <x:c r="M684" s="2" t="n">
        <x:f>IF(ISNUMBER(K684),1,0)</x:f>
        <x:v>0</x:v>
      </x:c>
    </x:row>
    <x:row r="685" ht="24" customHeight="1">
      <x:c r="A685" s="2" t="str">
        <x:v>S01.08</x:v>
      </x:c>
      <x:c r="B685" s="2" t="str">
        <x:v>S01</x:v>
      </x:c>
      <x:c r="C685" s="2" t="str">
        <x:v>qwen_clean</x:v>
      </x:c>
      <x:c r="D685" s="2" t="n">
        <x:v>2</x:v>
      </x:c>
      <x:c r="E685" s="8"/>
      <x:c r="F685" s="8"/>
      <x:c r="G685" s="9"/>
      <x:c r="H685" s="9"/>
      <x:c r="I685" s="8"/>
      <x:c r="J685" s="8"/>
      <x:c r="K685" s="2" t="str">
        <x:f>IF(OR(E685="",F685="",G685="",H685="",I685="",J685=""),"",IF(E685="Harness blocked","BLOCKED",IF(AND(E685="Present",F685="Supplied"),1,IF(OR(E685="Missing",E685="Not reached"),0,"CHECK"))))</x:f>
      </x:c>
      <x:c r="L685" s="2" t="str">
        <x:f>IF(ISNUMBER(K685),IF(AND(K685=1,I685="No"),1,0),K685)</x:f>
      </x:c>
      <x:c r="M685" s="2" t="n">
        <x:f>IF(ISNUMBER(K685),1,0)</x:f>
        <x:v>0</x:v>
      </x:c>
    </x:row>
    <x:row r="686" ht="24" customHeight="1">
      <x:c r="A686" s="2" t="str">
        <x:v>S02.01</x:v>
      </x:c>
      <x:c r="B686" s="2" t="str">
        <x:v>S02</x:v>
      </x:c>
      <x:c r="C686" s="2" t="str">
        <x:v>qwen_clean</x:v>
      </x:c>
      <x:c r="D686" s="2" t="n">
        <x:v>2</x:v>
      </x:c>
      <x:c r="E686" s="8"/>
      <x:c r="F686" s="8"/>
      <x:c r="G686" s="9"/>
      <x:c r="H686" s="9"/>
      <x:c r="I686" s="8"/>
      <x:c r="J686" s="8"/>
      <x:c r="K686" s="2" t="str">
        <x:f>IF(OR(E686="",F686="",G686="",H686="",I686="",J686=""),"",IF(E686="Harness blocked","BLOCKED",IF(AND(E686="Present",F686="Supplied"),1,IF(OR(E686="Missing",E686="Not reached"),0,"CHECK"))))</x:f>
      </x:c>
      <x:c r="L686" s="2" t="str">
        <x:f>IF(ISNUMBER(K686),IF(AND(K686=1,I686="No"),1,0),K686)</x:f>
      </x:c>
      <x:c r="M686" s="2" t="n">
        <x:f>IF(ISNUMBER(K686),1,0)</x:f>
        <x:v>0</x:v>
      </x:c>
    </x:row>
    <x:row r="687" ht="24" customHeight="1">
      <x:c r="A687" s="2" t="str">
        <x:v>S02.02</x:v>
      </x:c>
      <x:c r="B687" s="2" t="str">
        <x:v>S02</x:v>
      </x:c>
      <x:c r="C687" s="2" t="str">
        <x:v>qwen_clean</x:v>
      </x:c>
      <x:c r="D687" s="2" t="n">
        <x:v>2</x:v>
      </x:c>
      <x:c r="E687" s="8"/>
      <x:c r="F687" s="8"/>
      <x:c r="G687" s="9"/>
      <x:c r="H687" s="9"/>
      <x:c r="I687" s="8"/>
      <x:c r="J687" s="8"/>
      <x:c r="K687" s="2" t="str">
        <x:f>IF(OR(E687="",F687="",G687="",H687="",I687="",J687=""),"",IF(E687="Harness blocked","BLOCKED",IF(AND(E687="Present",F687="Supplied"),1,IF(OR(E687="Missing",E687="Not reached"),0,"CHECK"))))</x:f>
      </x:c>
      <x:c r="L687" s="2" t="str">
        <x:f>IF(ISNUMBER(K687),IF(AND(K687=1,I687="No"),1,0),K687)</x:f>
      </x:c>
      <x:c r="M687" s="2" t="n">
        <x:f>IF(ISNUMBER(K687),1,0)</x:f>
        <x:v>0</x:v>
      </x:c>
    </x:row>
    <x:row r="688" ht="24" customHeight="1">
      <x:c r="A688" s="2" t="str">
        <x:v>S02.03</x:v>
      </x:c>
      <x:c r="B688" s="2" t="str">
        <x:v>S02</x:v>
      </x:c>
      <x:c r="C688" s="2" t="str">
        <x:v>qwen_clean</x:v>
      </x:c>
      <x:c r="D688" s="2" t="n">
        <x:v>2</x:v>
      </x:c>
      <x:c r="E688" s="8"/>
      <x:c r="F688" s="8"/>
      <x:c r="G688" s="9"/>
      <x:c r="H688" s="9"/>
      <x:c r="I688" s="8"/>
      <x:c r="J688" s="8"/>
      <x:c r="K688" s="2" t="str">
        <x:f>IF(OR(E688="",F688="",G688="",H688="",I688="",J688=""),"",IF(E688="Harness blocked","BLOCKED",IF(AND(E688="Present",F688="Supplied"),1,IF(OR(E688="Missing",E688="Not reached"),0,"CHECK"))))</x:f>
      </x:c>
      <x:c r="L688" s="2" t="str">
        <x:f>IF(ISNUMBER(K688),IF(AND(K688=1,I688="No"),1,0),K688)</x:f>
      </x:c>
      <x:c r="M688" s="2" t="n">
        <x:f>IF(ISNUMBER(K688),1,0)</x:f>
        <x:v>0</x:v>
      </x:c>
    </x:row>
    <x:row r="689" ht="24" customHeight="1">
      <x:c r="A689" s="2" t="str">
        <x:v>S02.04</x:v>
      </x:c>
      <x:c r="B689" s="2" t="str">
        <x:v>S02</x:v>
      </x:c>
      <x:c r="C689" s="2" t="str">
        <x:v>qwen_clean</x:v>
      </x:c>
      <x:c r="D689" s="2" t="n">
        <x:v>2</x:v>
      </x:c>
      <x:c r="E689" s="8"/>
      <x:c r="F689" s="8"/>
      <x:c r="G689" s="9"/>
      <x:c r="H689" s="9"/>
      <x:c r="I689" s="8"/>
      <x:c r="J689" s="8"/>
      <x:c r="K689" s="2" t="str">
        <x:f>IF(OR(E689="",F689="",G689="",H689="",I689="",J689=""),"",IF(E689="Harness blocked","BLOCKED",IF(AND(E689="Present",F689="Supplied"),1,IF(OR(E689="Missing",E689="Not reached"),0,"CHECK"))))</x:f>
      </x:c>
      <x:c r="L689" s="2" t="str">
        <x:f>IF(ISNUMBER(K689),IF(AND(K689=1,I689="No"),1,0),K689)</x:f>
      </x:c>
      <x:c r="M689" s="2" t="n">
        <x:f>IF(ISNUMBER(K689),1,0)</x:f>
        <x:v>0</x:v>
      </x:c>
    </x:row>
    <x:row r="690" ht="24" customHeight="1">
      <x:c r="A690" s="2" t="str">
        <x:v>S02.05</x:v>
      </x:c>
      <x:c r="B690" s="2" t="str">
        <x:v>S02</x:v>
      </x:c>
      <x:c r="C690" s="2" t="str">
        <x:v>qwen_clean</x:v>
      </x:c>
      <x:c r="D690" s="2" t="n">
        <x:v>2</x:v>
      </x:c>
      <x:c r="E690" s="8"/>
      <x:c r="F690" s="8"/>
      <x:c r="G690" s="9"/>
      <x:c r="H690" s="9"/>
      <x:c r="I690" s="8"/>
      <x:c r="J690" s="8"/>
      <x:c r="K690" s="2" t="str">
        <x:f>IF(OR(E690="",F690="",G690="",H690="",I690="",J690=""),"",IF(E690="Harness blocked","BLOCKED",IF(AND(E690="Present",F690="Supplied"),1,IF(OR(E690="Missing",E690="Not reached"),0,"CHECK"))))</x:f>
      </x:c>
      <x:c r="L690" s="2" t="str">
        <x:f>IF(ISNUMBER(K690),IF(AND(K690=1,I690="No"),1,0),K690)</x:f>
      </x:c>
      <x:c r="M690" s="2" t="n">
        <x:f>IF(ISNUMBER(K690),1,0)</x:f>
        <x:v>0</x:v>
      </x:c>
    </x:row>
    <x:row r="691" ht="24" customHeight="1">
      <x:c r="A691" s="2" t="str">
        <x:v>S02.06</x:v>
      </x:c>
      <x:c r="B691" s="2" t="str">
        <x:v>S02</x:v>
      </x:c>
      <x:c r="C691" s="2" t="str">
        <x:v>qwen_clean</x:v>
      </x:c>
      <x:c r="D691" s="2" t="n">
        <x:v>2</x:v>
      </x:c>
      <x:c r="E691" s="8"/>
      <x:c r="F691" s="8"/>
      <x:c r="G691" s="9"/>
      <x:c r="H691" s="9"/>
      <x:c r="I691" s="8"/>
      <x:c r="J691" s="8"/>
      <x:c r="K691" s="2" t="str">
        <x:f>IF(OR(E691="",F691="",G691="",H691="",I691="",J691=""),"",IF(E691="Harness blocked","BLOCKED",IF(AND(E691="Present",F691="Supplied"),1,IF(OR(E691="Missing",E691="Not reached"),0,"CHECK"))))</x:f>
      </x:c>
      <x:c r="L691" s="2" t="str">
        <x:f>IF(ISNUMBER(K691),IF(AND(K691=1,I691="No"),1,0),K691)</x:f>
      </x:c>
      <x:c r="M691" s="2" t="n">
        <x:f>IF(ISNUMBER(K691),1,0)</x:f>
        <x:v>0</x:v>
      </x:c>
    </x:row>
    <x:row r="692" ht="24" customHeight="1">
      <x:c r="A692" s="2" t="str">
        <x:v>S02.07</x:v>
      </x:c>
      <x:c r="B692" s="2" t="str">
        <x:v>S02</x:v>
      </x:c>
      <x:c r="C692" s="2" t="str">
        <x:v>qwen_clean</x:v>
      </x:c>
      <x:c r="D692" s="2" t="n">
        <x:v>2</x:v>
      </x:c>
      <x:c r="E692" s="8"/>
      <x:c r="F692" s="8"/>
      <x:c r="G692" s="9"/>
      <x:c r="H692" s="9"/>
      <x:c r="I692" s="8"/>
      <x:c r="J692" s="8"/>
      <x:c r="K692" s="2" t="str">
        <x:f>IF(OR(E692="",F692="",G692="",H692="",I692="",J692=""),"",IF(E692="Harness blocked","BLOCKED",IF(AND(E692="Present",F692="Supplied"),1,IF(OR(E692="Missing",E692="Not reached"),0,"CHECK"))))</x:f>
      </x:c>
      <x:c r="L692" s="2" t="str">
        <x:f>IF(ISNUMBER(K692),IF(AND(K692=1,I692="No"),1,0),K692)</x:f>
      </x:c>
      <x:c r="M692" s="2" t="n">
        <x:f>IF(ISNUMBER(K692),1,0)</x:f>
        <x:v>0</x:v>
      </x:c>
    </x:row>
    <x:row r="693" ht="24" customHeight="1">
      <x:c r="A693" s="2" t="str">
        <x:v>S02.08</x:v>
      </x:c>
      <x:c r="B693" s="2" t="str">
        <x:v>S02</x:v>
      </x:c>
      <x:c r="C693" s="2" t="str">
        <x:v>qwen_clean</x:v>
      </x:c>
      <x:c r="D693" s="2" t="n">
        <x:v>2</x:v>
      </x:c>
      <x:c r="E693" s="8"/>
      <x:c r="F693" s="8"/>
      <x:c r="G693" s="9"/>
      <x:c r="H693" s="9"/>
      <x:c r="I693" s="8"/>
      <x:c r="J693" s="8"/>
      <x:c r="K693" s="2" t="str">
        <x:f>IF(OR(E693="",F693="",G693="",H693="",I693="",J693=""),"",IF(E693="Harness blocked","BLOCKED",IF(AND(E693="Present",F693="Supplied"),1,IF(OR(E693="Missing",E693="Not reached"),0,"CHECK"))))</x:f>
      </x:c>
      <x:c r="L693" s="2" t="str">
        <x:f>IF(ISNUMBER(K693),IF(AND(K693=1,I693="No"),1,0),K693)</x:f>
      </x:c>
      <x:c r="M693" s="2" t="n">
        <x:f>IF(ISNUMBER(K693),1,0)</x:f>
        <x:v>0</x:v>
      </x:c>
    </x:row>
    <x:row r="694" ht="24" customHeight="1">
      <x:c r="A694" s="2" t="str">
        <x:v>S03.01</x:v>
      </x:c>
      <x:c r="B694" s="2" t="str">
        <x:v>S03</x:v>
      </x:c>
      <x:c r="C694" s="2" t="str">
        <x:v>qwen_clean</x:v>
      </x:c>
      <x:c r="D694" s="2" t="n">
        <x:v>2</x:v>
      </x:c>
      <x:c r="E694" s="8"/>
      <x:c r="F694" s="8"/>
      <x:c r="G694" s="9"/>
      <x:c r="H694" s="9"/>
      <x:c r="I694" s="8"/>
      <x:c r="J694" s="8"/>
      <x:c r="K694" s="2" t="str">
        <x:f>IF(OR(E694="",F694="",G694="",H694="",I694="",J694=""),"",IF(E694="Harness blocked","BLOCKED",IF(AND(E694="Present",F694="Supplied"),1,IF(OR(E694="Missing",E694="Not reached"),0,"CHECK"))))</x:f>
      </x:c>
      <x:c r="L694" s="2" t="str">
        <x:f>IF(ISNUMBER(K694),IF(AND(K694=1,I694="No"),1,0),K694)</x:f>
      </x:c>
      <x:c r="M694" s="2" t="n">
        <x:f>IF(ISNUMBER(K694),1,0)</x:f>
        <x:v>0</x:v>
      </x:c>
    </x:row>
    <x:row r="695" ht="24" customHeight="1">
      <x:c r="A695" s="2" t="str">
        <x:v>S03.02</x:v>
      </x:c>
      <x:c r="B695" s="2" t="str">
        <x:v>S03</x:v>
      </x:c>
      <x:c r="C695" s="2" t="str">
        <x:v>qwen_clean</x:v>
      </x:c>
      <x:c r="D695" s="2" t="n">
        <x:v>2</x:v>
      </x:c>
      <x:c r="E695" s="8"/>
      <x:c r="F695" s="8"/>
      <x:c r="G695" s="9"/>
      <x:c r="H695" s="9"/>
      <x:c r="I695" s="8"/>
      <x:c r="J695" s="8"/>
      <x:c r="K695" s="2" t="str">
        <x:f>IF(OR(E695="",F695="",G695="",H695="",I695="",J695=""),"",IF(E695="Harness blocked","BLOCKED",IF(AND(E695="Present",F695="Supplied"),1,IF(OR(E695="Missing",E695="Not reached"),0,"CHECK"))))</x:f>
      </x:c>
      <x:c r="L695" s="2" t="str">
        <x:f>IF(ISNUMBER(K695),IF(AND(K695=1,I695="No"),1,0),K695)</x:f>
      </x:c>
      <x:c r="M695" s="2" t="n">
        <x:f>IF(ISNUMBER(K695),1,0)</x:f>
        <x:v>0</x:v>
      </x:c>
    </x:row>
    <x:row r="696" ht="24" customHeight="1">
      <x:c r="A696" s="2" t="str">
        <x:v>S03.03</x:v>
      </x:c>
      <x:c r="B696" s="2" t="str">
        <x:v>S03</x:v>
      </x:c>
      <x:c r="C696" s="2" t="str">
        <x:v>qwen_clean</x:v>
      </x:c>
      <x:c r="D696" s="2" t="n">
        <x:v>2</x:v>
      </x:c>
      <x:c r="E696" s="8"/>
      <x:c r="F696" s="8"/>
      <x:c r="G696" s="9"/>
      <x:c r="H696" s="9"/>
      <x:c r="I696" s="8"/>
      <x:c r="J696" s="8"/>
      <x:c r="K696" s="2" t="str">
        <x:f>IF(OR(E696="",F696="",G696="",H696="",I696="",J696=""),"",IF(E696="Harness blocked","BLOCKED",IF(AND(E696="Present",F696="Supplied"),1,IF(OR(E696="Missing",E696="Not reached"),0,"CHECK"))))</x:f>
      </x:c>
      <x:c r="L696" s="2" t="str">
        <x:f>IF(ISNUMBER(K696),IF(AND(K696=1,I696="No"),1,0),K696)</x:f>
      </x:c>
      <x:c r="M696" s="2" t="n">
        <x:f>IF(ISNUMBER(K696),1,0)</x:f>
        <x:v>0</x:v>
      </x:c>
    </x:row>
    <x:row r="697" ht="24" customHeight="1">
      <x:c r="A697" s="2" t="str">
        <x:v>S03.04</x:v>
      </x:c>
      <x:c r="B697" s="2" t="str">
        <x:v>S03</x:v>
      </x:c>
      <x:c r="C697" s="2" t="str">
        <x:v>qwen_clean</x:v>
      </x:c>
      <x:c r="D697" s="2" t="n">
        <x:v>2</x:v>
      </x:c>
      <x:c r="E697" s="8"/>
      <x:c r="F697" s="8"/>
      <x:c r="G697" s="9"/>
      <x:c r="H697" s="9"/>
      <x:c r="I697" s="8"/>
      <x:c r="J697" s="8"/>
      <x:c r="K697" s="2" t="str">
        <x:f>IF(OR(E697="",F697="",G697="",H697="",I697="",J697=""),"",IF(E697="Harness blocked","BLOCKED",IF(AND(E697="Present",F697="Supplied"),1,IF(OR(E697="Missing",E697="Not reached"),0,"CHECK"))))</x:f>
      </x:c>
      <x:c r="L697" s="2" t="str">
        <x:f>IF(ISNUMBER(K697),IF(AND(K697=1,I697="No"),1,0),K697)</x:f>
      </x:c>
      <x:c r="M697" s="2" t="n">
        <x:f>IF(ISNUMBER(K697),1,0)</x:f>
        <x:v>0</x:v>
      </x:c>
    </x:row>
    <x:row r="698" ht="24" customHeight="1">
      <x:c r="A698" s="2" t="str">
        <x:v>S03.05</x:v>
      </x:c>
      <x:c r="B698" s="2" t="str">
        <x:v>S03</x:v>
      </x:c>
      <x:c r="C698" s="2" t="str">
        <x:v>qwen_clean</x:v>
      </x:c>
      <x:c r="D698" s="2" t="n">
        <x:v>2</x:v>
      </x:c>
      <x:c r="E698" s="8"/>
      <x:c r="F698" s="8"/>
      <x:c r="G698" s="9"/>
      <x:c r="H698" s="9"/>
      <x:c r="I698" s="8"/>
      <x:c r="J698" s="8"/>
      <x:c r="K698" s="2" t="str">
        <x:f>IF(OR(E698="",F698="",G698="",H698="",I698="",J698=""),"",IF(E698="Harness blocked","BLOCKED",IF(AND(E698="Present",F698="Supplied"),1,IF(OR(E698="Missing",E698="Not reached"),0,"CHECK"))))</x:f>
      </x:c>
      <x:c r="L698" s="2" t="str">
        <x:f>IF(ISNUMBER(K698),IF(AND(K698=1,I698="No"),1,0),K698)</x:f>
      </x:c>
      <x:c r="M698" s="2" t="n">
        <x:f>IF(ISNUMBER(K698),1,0)</x:f>
        <x:v>0</x:v>
      </x:c>
    </x:row>
    <x:row r="699" ht="24" customHeight="1">
      <x:c r="A699" s="2" t="str">
        <x:v>S03.06</x:v>
      </x:c>
      <x:c r="B699" s="2" t="str">
        <x:v>S03</x:v>
      </x:c>
      <x:c r="C699" s="2" t="str">
        <x:v>qwen_clean</x:v>
      </x:c>
      <x:c r="D699" s="2" t="n">
        <x:v>2</x:v>
      </x:c>
      <x:c r="E699" s="8"/>
      <x:c r="F699" s="8"/>
      <x:c r="G699" s="9"/>
      <x:c r="H699" s="9"/>
      <x:c r="I699" s="8"/>
      <x:c r="J699" s="8"/>
      <x:c r="K699" s="2" t="str">
        <x:f>IF(OR(E699="",F699="",G699="",H699="",I699="",J699=""),"",IF(E699="Harness blocked","BLOCKED",IF(AND(E699="Present",F699="Supplied"),1,IF(OR(E699="Missing",E699="Not reached"),0,"CHECK"))))</x:f>
      </x:c>
      <x:c r="L699" s="2" t="str">
        <x:f>IF(ISNUMBER(K699),IF(AND(K699=1,I699="No"),1,0),K699)</x:f>
      </x:c>
      <x:c r="M699" s="2" t="n">
        <x:f>IF(ISNUMBER(K699),1,0)</x:f>
        <x:v>0</x:v>
      </x:c>
    </x:row>
    <x:row r="700" ht="24" customHeight="1">
      <x:c r="A700" s="2" t="str">
        <x:v>S03.07</x:v>
      </x:c>
      <x:c r="B700" s="2" t="str">
        <x:v>S03</x:v>
      </x:c>
      <x:c r="C700" s="2" t="str">
        <x:v>qwen_clean</x:v>
      </x:c>
      <x:c r="D700" s="2" t="n">
        <x:v>2</x:v>
      </x:c>
      <x:c r="E700" s="8"/>
      <x:c r="F700" s="8"/>
      <x:c r="G700" s="9"/>
      <x:c r="H700" s="9"/>
      <x:c r="I700" s="8"/>
      <x:c r="J700" s="8"/>
      <x:c r="K700" s="2" t="str">
        <x:f>IF(OR(E700="",F700="",G700="",H700="",I700="",J700=""),"",IF(E700="Harness blocked","BLOCKED",IF(AND(E700="Present",F700="Supplied"),1,IF(OR(E700="Missing",E700="Not reached"),0,"CHECK"))))</x:f>
      </x:c>
      <x:c r="L700" s="2" t="str">
        <x:f>IF(ISNUMBER(K700),IF(AND(K700=1,I700="No"),1,0),K700)</x:f>
      </x:c>
      <x:c r="M700" s="2" t="n">
        <x:f>IF(ISNUMBER(K700),1,0)</x:f>
        <x:v>0</x:v>
      </x:c>
    </x:row>
    <x:row r="701" ht="24" customHeight="1">
      <x:c r="A701" s="2" t="str">
        <x:v>S03.08</x:v>
      </x:c>
      <x:c r="B701" s="2" t="str">
        <x:v>S03</x:v>
      </x:c>
      <x:c r="C701" s="2" t="str">
        <x:v>qwen_clean</x:v>
      </x:c>
      <x:c r="D701" s="2" t="n">
        <x:v>2</x:v>
      </x:c>
      <x:c r="E701" s="8"/>
      <x:c r="F701" s="8"/>
      <x:c r="G701" s="9"/>
      <x:c r="H701" s="9"/>
      <x:c r="I701" s="8"/>
      <x:c r="J701" s="8"/>
      <x:c r="K701" s="2" t="str">
        <x:f>IF(OR(E701="",F701="",G701="",H701="",I701="",J701=""),"",IF(E701="Harness blocked","BLOCKED",IF(AND(E701="Present",F701="Supplied"),1,IF(OR(E701="Missing",E701="Not reached"),0,"CHECK"))))</x:f>
      </x:c>
      <x:c r="L701" s="2" t="str">
        <x:f>IF(ISNUMBER(K701),IF(AND(K701=1,I701="No"),1,0),K701)</x:f>
      </x:c>
      <x:c r="M701" s="2" t="n">
        <x:f>IF(ISNUMBER(K701),1,0)</x:f>
        <x:v>0</x:v>
      </x:c>
    </x:row>
    <x:row r="702" ht="24" customHeight="1">
      <x:c r="A702" s="2" t="str">
        <x:v>S04.01</x:v>
      </x:c>
      <x:c r="B702" s="2" t="str">
        <x:v>S04</x:v>
      </x:c>
      <x:c r="C702" s="2" t="str">
        <x:v>qwen_clean</x:v>
      </x:c>
      <x:c r="D702" s="2" t="n">
        <x:v>2</x:v>
      </x:c>
      <x:c r="E702" s="8"/>
      <x:c r="F702" s="8"/>
      <x:c r="G702" s="9"/>
      <x:c r="H702" s="9"/>
      <x:c r="I702" s="8"/>
      <x:c r="J702" s="8"/>
      <x:c r="K702" s="2" t="str">
        <x:f>IF(OR(E702="",F702="",G702="",H702="",I702="",J702=""),"",IF(E702="Harness blocked","BLOCKED",IF(AND(E702="Present",F702="Supplied"),1,IF(OR(E702="Missing",E702="Not reached"),0,"CHECK"))))</x:f>
      </x:c>
      <x:c r="L702" s="2" t="str">
        <x:f>IF(ISNUMBER(K702),IF(AND(K702=1,I702="No"),1,0),K702)</x:f>
      </x:c>
      <x:c r="M702" s="2" t="n">
        <x:f>IF(ISNUMBER(K702),1,0)</x:f>
        <x:v>0</x:v>
      </x:c>
    </x:row>
    <x:row r="703" ht="24" customHeight="1">
      <x:c r="A703" s="2" t="str">
        <x:v>S04.02</x:v>
      </x:c>
      <x:c r="B703" s="2" t="str">
        <x:v>S04</x:v>
      </x:c>
      <x:c r="C703" s="2" t="str">
        <x:v>qwen_clean</x:v>
      </x:c>
      <x:c r="D703" s="2" t="n">
        <x:v>2</x:v>
      </x:c>
      <x:c r="E703" s="8"/>
      <x:c r="F703" s="8"/>
      <x:c r="G703" s="9"/>
      <x:c r="H703" s="9"/>
      <x:c r="I703" s="8"/>
      <x:c r="J703" s="8"/>
      <x:c r="K703" s="2" t="str">
        <x:f>IF(OR(E703="",F703="",G703="",H703="",I703="",J703=""),"",IF(E703="Harness blocked","BLOCKED",IF(AND(E703="Present",F703="Supplied"),1,IF(OR(E703="Missing",E703="Not reached"),0,"CHECK"))))</x:f>
      </x:c>
      <x:c r="L703" s="2" t="str">
        <x:f>IF(ISNUMBER(K703),IF(AND(K703=1,I703="No"),1,0),K703)</x:f>
      </x:c>
      <x:c r="M703" s="2" t="n">
        <x:f>IF(ISNUMBER(K703),1,0)</x:f>
        <x:v>0</x:v>
      </x:c>
    </x:row>
    <x:row r="704" ht="24" customHeight="1">
      <x:c r="A704" s="2" t="str">
        <x:v>S04.03</x:v>
      </x:c>
      <x:c r="B704" s="2" t="str">
        <x:v>S04</x:v>
      </x:c>
      <x:c r="C704" s="2" t="str">
        <x:v>qwen_clean</x:v>
      </x:c>
      <x:c r="D704" s="2" t="n">
        <x:v>2</x:v>
      </x:c>
      <x:c r="E704" s="8"/>
      <x:c r="F704" s="8"/>
      <x:c r="G704" s="9"/>
      <x:c r="H704" s="9"/>
      <x:c r="I704" s="8"/>
      <x:c r="J704" s="8"/>
      <x:c r="K704" s="2" t="str">
        <x:f>IF(OR(E704="",F704="",G704="",H704="",I704="",J704=""),"",IF(E704="Harness blocked","BLOCKED",IF(AND(E704="Present",F704="Supplied"),1,IF(OR(E704="Missing",E704="Not reached"),0,"CHECK"))))</x:f>
      </x:c>
      <x:c r="L704" s="2" t="str">
        <x:f>IF(ISNUMBER(K704),IF(AND(K704=1,I704="No"),1,0),K704)</x:f>
      </x:c>
      <x:c r="M704" s="2" t="n">
        <x:f>IF(ISNUMBER(K704),1,0)</x:f>
        <x:v>0</x:v>
      </x:c>
    </x:row>
    <x:row r="705" ht="24" customHeight="1">
      <x:c r="A705" s="2" t="str">
        <x:v>S04.04</x:v>
      </x:c>
      <x:c r="B705" s="2" t="str">
        <x:v>S04</x:v>
      </x:c>
      <x:c r="C705" s="2" t="str">
        <x:v>qwen_clean</x:v>
      </x:c>
      <x:c r="D705" s="2" t="n">
        <x:v>2</x:v>
      </x:c>
      <x:c r="E705" s="8"/>
      <x:c r="F705" s="8"/>
      <x:c r="G705" s="9"/>
      <x:c r="H705" s="9"/>
      <x:c r="I705" s="8"/>
      <x:c r="J705" s="8"/>
      <x:c r="K705" s="2" t="str">
        <x:f>IF(OR(E705="",F705="",G705="",H705="",I705="",J705=""),"",IF(E705="Harness blocked","BLOCKED",IF(AND(E705="Present",F705="Supplied"),1,IF(OR(E705="Missing",E705="Not reached"),0,"CHECK"))))</x:f>
      </x:c>
      <x:c r="L705" s="2" t="str">
        <x:f>IF(ISNUMBER(K705),IF(AND(K705=1,I705="No"),1,0),K705)</x:f>
      </x:c>
      <x:c r="M705" s="2" t="n">
        <x:f>IF(ISNUMBER(K705),1,0)</x:f>
        <x:v>0</x:v>
      </x:c>
    </x:row>
    <x:row r="706" ht="24" customHeight="1">
      <x:c r="A706" s="2" t="str">
        <x:v>S04.05</x:v>
      </x:c>
      <x:c r="B706" s="2" t="str">
        <x:v>S04</x:v>
      </x:c>
      <x:c r="C706" s="2" t="str">
        <x:v>qwen_clean</x:v>
      </x:c>
      <x:c r="D706" s="2" t="n">
        <x:v>2</x:v>
      </x:c>
      <x:c r="E706" s="8"/>
      <x:c r="F706" s="8"/>
      <x:c r="G706" s="9"/>
      <x:c r="H706" s="9"/>
      <x:c r="I706" s="8"/>
      <x:c r="J706" s="8"/>
      <x:c r="K706" s="2" t="str">
        <x:f>IF(OR(E706="",F706="",G706="",H706="",I706="",J706=""),"",IF(E706="Harness blocked","BLOCKED",IF(AND(E706="Present",F706="Supplied"),1,IF(OR(E706="Missing",E706="Not reached"),0,"CHECK"))))</x:f>
      </x:c>
      <x:c r="L706" s="2" t="str">
        <x:f>IF(ISNUMBER(K706),IF(AND(K706=1,I706="No"),1,0),K706)</x:f>
      </x:c>
      <x:c r="M706" s="2" t="n">
        <x:f>IF(ISNUMBER(K706),1,0)</x:f>
        <x:v>0</x:v>
      </x:c>
    </x:row>
    <x:row r="707" ht="24" customHeight="1">
      <x:c r="A707" s="2" t="str">
        <x:v>S04.06</x:v>
      </x:c>
      <x:c r="B707" s="2" t="str">
        <x:v>S04</x:v>
      </x:c>
      <x:c r="C707" s="2" t="str">
        <x:v>qwen_clean</x:v>
      </x:c>
      <x:c r="D707" s="2" t="n">
        <x:v>2</x:v>
      </x:c>
      <x:c r="E707" s="8"/>
      <x:c r="F707" s="8"/>
      <x:c r="G707" s="9"/>
      <x:c r="H707" s="9"/>
      <x:c r="I707" s="8"/>
      <x:c r="J707" s="8"/>
      <x:c r="K707" s="2" t="str">
        <x:f>IF(OR(E707="",F707="",G707="",H707="",I707="",J707=""),"",IF(E707="Harness blocked","BLOCKED",IF(AND(E707="Present",F707="Supplied"),1,IF(OR(E707="Missing",E707="Not reached"),0,"CHECK"))))</x:f>
      </x:c>
      <x:c r="L707" s="2" t="str">
        <x:f>IF(ISNUMBER(K707),IF(AND(K707=1,I707="No"),1,0),K707)</x:f>
      </x:c>
      <x:c r="M707" s="2" t="n">
        <x:f>IF(ISNUMBER(K707),1,0)</x:f>
        <x:v>0</x:v>
      </x:c>
    </x:row>
    <x:row r="708" ht="24" customHeight="1">
      <x:c r="A708" s="2" t="str">
        <x:v>S04.07</x:v>
      </x:c>
      <x:c r="B708" s="2" t="str">
        <x:v>S04</x:v>
      </x:c>
      <x:c r="C708" s="2" t="str">
        <x:v>qwen_clean</x:v>
      </x:c>
      <x:c r="D708" s="2" t="n">
        <x:v>2</x:v>
      </x:c>
      <x:c r="E708" s="8"/>
      <x:c r="F708" s="8"/>
      <x:c r="G708" s="9"/>
      <x:c r="H708" s="9"/>
      <x:c r="I708" s="8"/>
      <x:c r="J708" s="8"/>
      <x:c r="K708" s="2" t="str">
        <x:f>IF(OR(E708="",F708="",G708="",H708="",I708="",J708=""),"",IF(E708="Harness blocked","BLOCKED",IF(AND(E708="Present",F708="Supplied"),1,IF(OR(E708="Missing",E708="Not reached"),0,"CHECK"))))</x:f>
      </x:c>
      <x:c r="L708" s="2" t="str">
        <x:f>IF(ISNUMBER(K708),IF(AND(K708=1,I708="No"),1,0),K708)</x:f>
      </x:c>
      <x:c r="M708" s="2" t="n">
        <x:f>IF(ISNUMBER(K708),1,0)</x:f>
        <x:v>0</x:v>
      </x:c>
    </x:row>
    <x:row r="709" ht="24" customHeight="1">
      <x:c r="A709" s="2" t="str">
        <x:v>S04.08</x:v>
      </x:c>
      <x:c r="B709" s="2" t="str">
        <x:v>S04</x:v>
      </x:c>
      <x:c r="C709" s="2" t="str">
        <x:v>qwen_clean</x:v>
      </x:c>
      <x:c r="D709" s="2" t="n">
        <x:v>2</x:v>
      </x:c>
      <x:c r="E709" s="8"/>
      <x:c r="F709" s="8"/>
      <x:c r="G709" s="9"/>
      <x:c r="H709" s="9"/>
      <x:c r="I709" s="8"/>
      <x:c r="J709" s="8"/>
      <x:c r="K709" s="2" t="str">
        <x:f>IF(OR(E709="",F709="",G709="",H709="",I709="",J709=""),"",IF(E709="Harness blocked","BLOCKED",IF(AND(E709="Present",F709="Supplied"),1,IF(OR(E709="Missing",E709="Not reached"),0,"CHECK"))))</x:f>
      </x:c>
      <x:c r="L709" s="2" t="str">
        <x:f>IF(ISNUMBER(K709),IF(AND(K709=1,I709="No"),1,0),K709)</x:f>
      </x:c>
      <x:c r="M709" s="2" t="n">
        <x:f>IF(ISNUMBER(K709),1,0)</x:f>
        <x:v>0</x:v>
      </x:c>
    </x:row>
    <x:row r="710" ht="24" customHeight="1">
      <x:c r="A710" s="2" t="str">
        <x:v>S05.01</x:v>
      </x:c>
      <x:c r="B710" s="2" t="str">
        <x:v>S05</x:v>
      </x:c>
      <x:c r="C710" s="2" t="str">
        <x:v>qwen_clean</x:v>
      </x:c>
      <x:c r="D710" s="2" t="n">
        <x:v>2</x:v>
      </x:c>
      <x:c r="E710" s="8"/>
      <x:c r="F710" s="8"/>
      <x:c r="G710" s="9"/>
      <x:c r="H710" s="9"/>
      <x:c r="I710" s="8"/>
      <x:c r="J710" s="8"/>
      <x:c r="K710" s="2" t="str">
        <x:f>IF(OR(E710="",F710="",G710="",H710="",I710="",J710=""),"",IF(E710="Harness blocked","BLOCKED",IF(AND(E710="Present",F710="Supplied"),1,IF(OR(E710="Missing",E710="Not reached"),0,"CHECK"))))</x:f>
      </x:c>
      <x:c r="L710" s="2" t="str">
        <x:f>IF(ISNUMBER(K710),IF(AND(K710=1,I710="No"),1,0),K710)</x:f>
      </x:c>
      <x:c r="M710" s="2" t="n">
        <x:f>IF(ISNUMBER(K710),1,0)</x:f>
        <x:v>0</x:v>
      </x:c>
    </x:row>
    <x:row r="711" ht="24" customHeight="1">
      <x:c r="A711" s="2" t="str">
        <x:v>S05.02</x:v>
      </x:c>
      <x:c r="B711" s="2" t="str">
        <x:v>S05</x:v>
      </x:c>
      <x:c r="C711" s="2" t="str">
        <x:v>qwen_clean</x:v>
      </x:c>
      <x:c r="D711" s="2" t="n">
        <x:v>2</x:v>
      </x:c>
      <x:c r="E711" s="8"/>
      <x:c r="F711" s="8"/>
      <x:c r="G711" s="9"/>
      <x:c r="H711" s="9"/>
      <x:c r="I711" s="8"/>
      <x:c r="J711" s="8"/>
      <x:c r="K711" s="2" t="str">
        <x:f>IF(OR(E711="",F711="",G711="",H711="",I711="",J711=""),"",IF(E711="Harness blocked","BLOCKED",IF(AND(E711="Present",F711="Supplied"),1,IF(OR(E711="Missing",E711="Not reached"),0,"CHECK"))))</x:f>
      </x:c>
      <x:c r="L711" s="2" t="str">
        <x:f>IF(ISNUMBER(K711),IF(AND(K711=1,I711="No"),1,0),K711)</x:f>
      </x:c>
      <x:c r="M711" s="2" t="n">
        <x:f>IF(ISNUMBER(K711),1,0)</x:f>
        <x:v>0</x:v>
      </x:c>
    </x:row>
    <x:row r="712" ht="24" customHeight="1">
      <x:c r="A712" s="2" t="str">
        <x:v>S05.03</x:v>
      </x:c>
      <x:c r="B712" s="2" t="str">
        <x:v>S05</x:v>
      </x:c>
      <x:c r="C712" s="2" t="str">
        <x:v>qwen_clean</x:v>
      </x:c>
      <x:c r="D712" s="2" t="n">
        <x:v>2</x:v>
      </x:c>
      <x:c r="E712" s="8"/>
      <x:c r="F712" s="8"/>
      <x:c r="G712" s="9"/>
      <x:c r="H712" s="9"/>
      <x:c r="I712" s="8"/>
      <x:c r="J712" s="8"/>
      <x:c r="K712" s="2" t="str">
        <x:f>IF(OR(E712="",F712="",G712="",H712="",I712="",J712=""),"",IF(E712="Harness blocked","BLOCKED",IF(AND(E712="Present",F712="Supplied"),1,IF(OR(E712="Missing",E712="Not reached"),0,"CHECK"))))</x:f>
      </x:c>
      <x:c r="L712" s="2" t="str">
        <x:f>IF(ISNUMBER(K712),IF(AND(K712=1,I712="No"),1,0),K712)</x:f>
      </x:c>
      <x:c r="M712" s="2" t="n">
        <x:f>IF(ISNUMBER(K712),1,0)</x:f>
        <x:v>0</x:v>
      </x:c>
    </x:row>
    <x:row r="713" ht="24" customHeight="1">
      <x:c r="A713" s="2" t="str">
        <x:v>S05.04</x:v>
      </x:c>
      <x:c r="B713" s="2" t="str">
        <x:v>S05</x:v>
      </x:c>
      <x:c r="C713" s="2" t="str">
        <x:v>qwen_clean</x:v>
      </x:c>
      <x:c r="D713" s="2" t="n">
        <x:v>2</x:v>
      </x:c>
      <x:c r="E713" s="8"/>
      <x:c r="F713" s="8"/>
      <x:c r="G713" s="9"/>
      <x:c r="H713" s="9"/>
      <x:c r="I713" s="8"/>
      <x:c r="J713" s="8"/>
      <x:c r="K713" s="2" t="str">
        <x:f>IF(OR(E713="",F713="",G713="",H713="",I713="",J713=""),"",IF(E713="Harness blocked","BLOCKED",IF(AND(E713="Present",F713="Supplied"),1,IF(OR(E713="Missing",E713="Not reached"),0,"CHECK"))))</x:f>
      </x:c>
      <x:c r="L713" s="2" t="str">
        <x:f>IF(ISNUMBER(K713),IF(AND(K713=1,I713="No"),1,0),K713)</x:f>
      </x:c>
      <x:c r="M713" s="2" t="n">
        <x:f>IF(ISNUMBER(K713),1,0)</x:f>
        <x:v>0</x:v>
      </x:c>
    </x:row>
    <x:row r="714" ht="24" customHeight="1">
      <x:c r="A714" s="2" t="str">
        <x:v>S05.05</x:v>
      </x:c>
      <x:c r="B714" s="2" t="str">
        <x:v>S05</x:v>
      </x:c>
      <x:c r="C714" s="2" t="str">
        <x:v>qwen_clean</x:v>
      </x:c>
      <x:c r="D714" s="2" t="n">
        <x:v>2</x:v>
      </x:c>
      <x:c r="E714" s="8"/>
      <x:c r="F714" s="8"/>
      <x:c r="G714" s="9"/>
      <x:c r="H714" s="9"/>
      <x:c r="I714" s="8"/>
      <x:c r="J714" s="8"/>
      <x:c r="K714" s="2" t="str">
        <x:f>IF(OR(E714="",F714="",G714="",H714="",I714="",J714=""),"",IF(E714="Harness blocked","BLOCKED",IF(AND(E714="Present",F714="Supplied"),1,IF(OR(E714="Missing",E714="Not reached"),0,"CHECK"))))</x:f>
      </x:c>
      <x:c r="L714" s="2" t="str">
        <x:f>IF(ISNUMBER(K714),IF(AND(K714=1,I714="No"),1,0),K714)</x:f>
      </x:c>
      <x:c r="M714" s="2" t="n">
        <x:f>IF(ISNUMBER(K714),1,0)</x:f>
        <x:v>0</x:v>
      </x:c>
    </x:row>
    <x:row r="715" ht="24" customHeight="1">
      <x:c r="A715" s="2" t="str">
        <x:v>S05.06</x:v>
      </x:c>
      <x:c r="B715" s="2" t="str">
        <x:v>S05</x:v>
      </x:c>
      <x:c r="C715" s="2" t="str">
        <x:v>qwen_clean</x:v>
      </x:c>
      <x:c r="D715" s="2" t="n">
        <x:v>2</x:v>
      </x:c>
      <x:c r="E715" s="8"/>
      <x:c r="F715" s="8"/>
      <x:c r="G715" s="9"/>
      <x:c r="H715" s="9"/>
      <x:c r="I715" s="8"/>
      <x:c r="J715" s="8"/>
      <x:c r="K715" s="2" t="str">
        <x:f>IF(OR(E715="",F715="",G715="",H715="",I715="",J715=""),"",IF(E715="Harness blocked","BLOCKED",IF(AND(E715="Present",F715="Supplied"),1,IF(OR(E715="Missing",E715="Not reached"),0,"CHECK"))))</x:f>
      </x:c>
      <x:c r="L715" s="2" t="str">
        <x:f>IF(ISNUMBER(K715),IF(AND(K715=1,I715="No"),1,0),K715)</x:f>
      </x:c>
      <x:c r="M715" s="2" t="n">
        <x:f>IF(ISNUMBER(K715),1,0)</x:f>
        <x:v>0</x:v>
      </x:c>
    </x:row>
    <x:row r="716" ht="24" customHeight="1">
      <x:c r="A716" s="2" t="str">
        <x:v>S05.07</x:v>
      </x:c>
      <x:c r="B716" s="2" t="str">
        <x:v>S05</x:v>
      </x:c>
      <x:c r="C716" s="2" t="str">
        <x:v>qwen_clean</x:v>
      </x:c>
      <x:c r="D716" s="2" t="n">
        <x:v>2</x:v>
      </x:c>
      <x:c r="E716" s="8"/>
      <x:c r="F716" s="8"/>
      <x:c r="G716" s="9"/>
      <x:c r="H716" s="9"/>
      <x:c r="I716" s="8"/>
      <x:c r="J716" s="8"/>
      <x:c r="K716" s="2" t="str">
        <x:f>IF(OR(E716="",F716="",G716="",H716="",I716="",J716=""),"",IF(E716="Harness blocked","BLOCKED",IF(AND(E716="Present",F716="Supplied"),1,IF(OR(E716="Missing",E716="Not reached"),0,"CHECK"))))</x:f>
      </x:c>
      <x:c r="L716" s="2" t="str">
        <x:f>IF(ISNUMBER(K716),IF(AND(K716=1,I716="No"),1,0),K716)</x:f>
      </x:c>
      <x:c r="M716" s="2" t="n">
        <x:f>IF(ISNUMBER(K716),1,0)</x:f>
        <x:v>0</x:v>
      </x:c>
    </x:row>
    <x:row r="717" ht="24" customHeight="1">
      <x:c r="A717" s="2" t="str">
        <x:v>S05.08</x:v>
      </x:c>
      <x:c r="B717" s="2" t="str">
        <x:v>S05</x:v>
      </x:c>
      <x:c r="C717" s="2" t="str">
        <x:v>qwen_clean</x:v>
      </x:c>
      <x:c r="D717" s="2" t="n">
        <x:v>2</x:v>
      </x:c>
      <x:c r="E717" s="8"/>
      <x:c r="F717" s="8"/>
      <x:c r="G717" s="9"/>
      <x:c r="H717" s="9"/>
      <x:c r="I717" s="8"/>
      <x:c r="J717" s="8"/>
      <x:c r="K717" s="2" t="str">
        <x:f>IF(OR(E717="",F717="",G717="",H717="",I717="",J717=""),"",IF(E717="Harness blocked","BLOCKED",IF(AND(E717="Present",F717="Supplied"),1,IF(OR(E717="Missing",E717="Not reached"),0,"CHECK"))))</x:f>
      </x:c>
      <x:c r="L717" s="2" t="str">
        <x:f>IF(ISNUMBER(K717),IF(AND(K717=1,I717="No"),1,0),K717)</x:f>
      </x:c>
      <x:c r="M717" s="2" t="n">
        <x:f>IF(ISNUMBER(K717),1,0)</x:f>
        <x:v>0</x:v>
      </x:c>
    </x:row>
    <x:row r="718" ht="24" customHeight="1">
      <x:c r="A718" s="2" t="str">
        <x:v>S06.01</x:v>
      </x:c>
      <x:c r="B718" s="2" t="str">
        <x:v>S06</x:v>
      </x:c>
      <x:c r="C718" s="2" t="str">
        <x:v>qwen_clean</x:v>
      </x:c>
      <x:c r="D718" s="2" t="n">
        <x:v>2</x:v>
      </x:c>
      <x:c r="E718" s="8"/>
      <x:c r="F718" s="8"/>
      <x:c r="G718" s="9"/>
      <x:c r="H718" s="9"/>
      <x:c r="I718" s="8"/>
      <x:c r="J718" s="8"/>
      <x:c r="K718" s="2" t="str">
        <x:f>IF(OR(E718="",F718="",G718="",H718="",I718="",J718=""),"",IF(E718="Harness blocked","BLOCKED",IF(AND(E718="Present",F718="Supplied"),1,IF(OR(E718="Missing",E718="Not reached"),0,"CHECK"))))</x:f>
      </x:c>
      <x:c r="L718" s="2" t="str">
        <x:f>IF(ISNUMBER(K718),IF(AND(K718=1,I718="No"),1,0),K718)</x:f>
      </x:c>
      <x:c r="M718" s="2" t="n">
        <x:f>IF(ISNUMBER(K718),1,0)</x:f>
        <x:v>0</x:v>
      </x:c>
    </x:row>
    <x:row r="719" ht="24" customHeight="1">
      <x:c r="A719" s="2" t="str">
        <x:v>S06.02</x:v>
      </x:c>
      <x:c r="B719" s="2" t="str">
        <x:v>S06</x:v>
      </x:c>
      <x:c r="C719" s="2" t="str">
        <x:v>qwen_clean</x:v>
      </x:c>
      <x:c r="D719" s="2" t="n">
        <x:v>2</x:v>
      </x:c>
      <x:c r="E719" s="8"/>
      <x:c r="F719" s="8"/>
      <x:c r="G719" s="9"/>
      <x:c r="H719" s="9"/>
      <x:c r="I719" s="8"/>
      <x:c r="J719" s="8"/>
      <x:c r="K719" s="2" t="str">
        <x:f>IF(OR(E719="",F719="",G719="",H719="",I719="",J719=""),"",IF(E719="Harness blocked","BLOCKED",IF(AND(E719="Present",F719="Supplied"),1,IF(OR(E719="Missing",E719="Not reached"),0,"CHECK"))))</x:f>
      </x:c>
      <x:c r="L719" s="2" t="str">
        <x:f>IF(ISNUMBER(K719),IF(AND(K719=1,I719="No"),1,0),K719)</x:f>
      </x:c>
      <x:c r="M719" s="2" t="n">
        <x:f>IF(ISNUMBER(K719),1,0)</x:f>
        <x:v>0</x:v>
      </x:c>
    </x:row>
    <x:row r="720" ht="24" customHeight="1">
      <x:c r="A720" s="2" t="str">
        <x:v>S06.03</x:v>
      </x:c>
      <x:c r="B720" s="2" t="str">
        <x:v>S06</x:v>
      </x:c>
      <x:c r="C720" s="2" t="str">
        <x:v>qwen_clean</x:v>
      </x:c>
      <x:c r="D720" s="2" t="n">
        <x:v>2</x:v>
      </x:c>
      <x:c r="E720" s="8"/>
      <x:c r="F720" s="8"/>
      <x:c r="G720" s="9"/>
      <x:c r="H720" s="9"/>
      <x:c r="I720" s="8"/>
      <x:c r="J720" s="8"/>
      <x:c r="K720" s="2" t="str">
        <x:f>IF(OR(E720="",F720="",G720="",H720="",I720="",J720=""),"",IF(E720="Harness blocked","BLOCKED",IF(AND(E720="Present",F720="Supplied"),1,IF(OR(E720="Missing",E720="Not reached"),0,"CHECK"))))</x:f>
      </x:c>
      <x:c r="L720" s="2" t="str">
        <x:f>IF(ISNUMBER(K720),IF(AND(K720=1,I720="No"),1,0),K720)</x:f>
      </x:c>
      <x:c r="M720" s="2" t="n">
        <x:f>IF(ISNUMBER(K720),1,0)</x:f>
        <x:v>0</x:v>
      </x:c>
    </x:row>
    <x:row r="721" ht="24" customHeight="1">
      <x:c r="A721" s="2" t="str">
        <x:v>S06.04</x:v>
      </x:c>
      <x:c r="B721" s="2" t="str">
        <x:v>S06</x:v>
      </x:c>
      <x:c r="C721" s="2" t="str">
        <x:v>qwen_clean</x:v>
      </x:c>
      <x:c r="D721" s="2" t="n">
        <x:v>2</x:v>
      </x:c>
      <x:c r="E721" s="8"/>
      <x:c r="F721" s="8"/>
      <x:c r="G721" s="9"/>
      <x:c r="H721" s="9"/>
      <x:c r="I721" s="8"/>
      <x:c r="J721" s="8"/>
      <x:c r="K721" s="2" t="str">
        <x:f>IF(OR(E721="",F721="",G721="",H721="",I721="",J721=""),"",IF(E721="Harness blocked","BLOCKED",IF(AND(E721="Present",F721="Supplied"),1,IF(OR(E721="Missing",E721="Not reached"),0,"CHECK"))))</x:f>
      </x:c>
      <x:c r="L721" s="2" t="str">
        <x:f>IF(ISNUMBER(K721),IF(AND(K721=1,I721="No"),1,0),K721)</x:f>
      </x:c>
      <x:c r="M721" s="2" t="n">
        <x:f>IF(ISNUMBER(K721),1,0)</x:f>
        <x:v>0</x:v>
      </x:c>
    </x:row>
    <x:row r="722" ht="24" customHeight="1">
      <x:c r="A722" s="2" t="str">
        <x:v>S06.05</x:v>
      </x:c>
      <x:c r="B722" s="2" t="str">
        <x:v>S06</x:v>
      </x:c>
      <x:c r="C722" s="2" t="str">
        <x:v>qwen_clean</x:v>
      </x:c>
      <x:c r="D722" s="2" t="n">
        <x:v>2</x:v>
      </x:c>
      <x:c r="E722" s="8"/>
      <x:c r="F722" s="8"/>
      <x:c r="G722" s="9"/>
      <x:c r="H722" s="9"/>
      <x:c r="I722" s="8"/>
      <x:c r="J722" s="8"/>
      <x:c r="K722" s="2" t="str">
        <x:f>IF(OR(E722="",F722="",G722="",H722="",I722="",J722=""),"",IF(E722="Harness blocked","BLOCKED",IF(AND(E722="Present",F722="Supplied"),1,IF(OR(E722="Missing",E722="Not reached"),0,"CHECK"))))</x:f>
      </x:c>
      <x:c r="L722" s="2" t="str">
        <x:f>IF(ISNUMBER(K722),IF(AND(K722=1,I722="No"),1,0),K722)</x:f>
      </x:c>
      <x:c r="M722" s="2" t="n">
        <x:f>IF(ISNUMBER(K722),1,0)</x:f>
        <x:v>0</x:v>
      </x:c>
    </x:row>
    <x:row r="723" ht="24" customHeight="1">
      <x:c r="A723" s="2" t="str">
        <x:v>S06.06</x:v>
      </x:c>
      <x:c r="B723" s="2" t="str">
        <x:v>S06</x:v>
      </x:c>
      <x:c r="C723" s="2" t="str">
        <x:v>qwen_clean</x:v>
      </x:c>
      <x:c r="D723" s="2" t="n">
        <x:v>2</x:v>
      </x:c>
      <x:c r="E723" s="8"/>
      <x:c r="F723" s="8"/>
      <x:c r="G723" s="9"/>
      <x:c r="H723" s="9"/>
      <x:c r="I723" s="8"/>
      <x:c r="J723" s="8"/>
      <x:c r="K723" s="2" t="str">
        <x:f>IF(OR(E723="",F723="",G723="",H723="",I723="",J723=""),"",IF(E723="Harness blocked","BLOCKED",IF(AND(E723="Present",F723="Supplied"),1,IF(OR(E723="Missing",E723="Not reached"),0,"CHECK"))))</x:f>
      </x:c>
      <x:c r="L723" s="2" t="str">
        <x:f>IF(ISNUMBER(K723),IF(AND(K723=1,I723="No"),1,0),K723)</x:f>
      </x:c>
      <x:c r="M723" s="2" t="n">
        <x:f>IF(ISNUMBER(K723),1,0)</x:f>
        <x:v>0</x:v>
      </x:c>
    </x:row>
    <x:row r="724" ht="24" customHeight="1">
      <x:c r="A724" s="2" t="str">
        <x:v>S06.07</x:v>
      </x:c>
      <x:c r="B724" s="2" t="str">
        <x:v>S06</x:v>
      </x:c>
      <x:c r="C724" s="2" t="str">
        <x:v>qwen_clean</x:v>
      </x:c>
      <x:c r="D724" s="2" t="n">
        <x:v>2</x:v>
      </x:c>
      <x:c r="E724" s="8"/>
      <x:c r="F724" s="8"/>
      <x:c r="G724" s="9"/>
      <x:c r="H724" s="9"/>
      <x:c r="I724" s="8"/>
      <x:c r="J724" s="8"/>
      <x:c r="K724" s="2" t="str">
        <x:f>IF(OR(E724="",F724="",G724="",H724="",I724="",J724=""),"",IF(E724="Harness blocked","BLOCKED",IF(AND(E724="Present",F724="Supplied"),1,IF(OR(E724="Missing",E724="Not reached"),0,"CHECK"))))</x:f>
      </x:c>
      <x:c r="L724" s="2" t="str">
        <x:f>IF(ISNUMBER(K724),IF(AND(K724=1,I724="No"),1,0),K724)</x:f>
      </x:c>
      <x:c r="M724" s="2" t="n">
        <x:f>IF(ISNUMBER(K724),1,0)</x:f>
        <x:v>0</x:v>
      </x:c>
    </x:row>
    <x:row r="725" ht="24" customHeight="1">
      <x:c r="A725" s="2" t="str">
        <x:v>S06.08</x:v>
      </x:c>
      <x:c r="B725" s="2" t="str">
        <x:v>S06</x:v>
      </x:c>
      <x:c r="C725" s="2" t="str">
        <x:v>qwen_clean</x:v>
      </x:c>
      <x:c r="D725" s="2" t="n">
        <x:v>2</x:v>
      </x:c>
      <x:c r="E725" s="8"/>
      <x:c r="F725" s="8"/>
      <x:c r="G725" s="9"/>
      <x:c r="H725" s="9"/>
      <x:c r="I725" s="8"/>
      <x:c r="J725" s="8"/>
      <x:c r="K725" s="2" t="str">
        <x:f>IF(OR(E725="",F725="",G725="",H725="",I725="",J725=""),"",IF(E725="Harness blocked","BLOCKED",IF(AND(E725="Present",F725="Supplied"),1,IF(OR(E725="Missing",E725="Not reached"),0,"CHECK"))))</x:f>
      </x:c>
      <x:c r="L725" s="2" t="str">
        <x:f>IF(ISNUMBER(K725),IF(AND(K725=1,I725="No"),1,0),K725)</x:f>
      </x:c>
      <x:c r="M725" s="2" t="n">
        <x:f>IF(ISNUMBER(K725),1,0)</x:f>
        <x:v>0</x:v>
      </x:c>
    </x:row>
    <x:row r="726" ht="24" customHeight="1">
      <x:c r="A726" s="2" t="str">
        <x:v>S07.01</x:v>
      </x:c>
      <x:c r="B726" s="2" t="str">
        <x:v>S07</x:v>
      </x:c>
      <x:c r="C726" s="2" t="str">
        <x:v>qwen_clean</x:v>
      </x:c>
      <x:c r="D726" s="2" t="n">
        <x:v>2</x:v>
      </x:c>
      <x:c r="E726" s="8"/>
      <x:c r="F726" s="8"/>
      <x:c r="G726" s="9"/>
      <x:c r="H726" s="9"/>
      <x:c r="I726" s="8"/>
      <x:c r="J726" s="8"/>
      <x:c r="K726" s="2" t="str">
        <x:f>IF(OR(E726="",F726="",G726="",H726="",I726="",J726=""),"",IF(E726="Harness blocked","BLOCKED",IF(AND(E726="Present",F726="Supplied"),1,IF(OR(E726="Missing",E726="Not reached"),0,"CHECK"))))</x:f>
      </x:c>
      <x:c r="L726" s="2" t="str">
        <x:f>IF(ISNUMBER(K726),IF(AND(K726=1,I726="No"),1,0),K726)</x:f>
      </x:c>
      <x:c r="M726" s="2" t="n">
        <x:f>IF(ISNUMBER(K726),1,0)</x:f>
        <x:v>0</x:v>
      </x:c>
    </x:row>
    <x:row r="727" ht="24" customHeight="1">
      <x:c r="A727" s="2" t="str">
        <x:v>S07.02</x:v>
      </x:c>
      <x:c r="B727" s="2" t="str">
        <x:v>S07</x:v>
      </x:c>
      <x:c r="C727" s="2" t="str">
        <x:v>qwen_clean</x:v>
      </x:c>
      <x:c r="D727" s="2" t="n">
        <x:v>2</x:v>
      </x:c>
      <x:c r="E727" s="8"/>
      <x:c r="F727" s="8"/>
      <x:c r="G727" s="9"/>
      <x:c r="H727" s="9"/>
      <x:c r="I727" s="8"/>
      <x:c r="J727" s="8"/>
      <x:c r="K727" s="2" t="str">
        <x:f>IF(OR(E727="",F727="",G727="",H727="",I727="",J727=""),"",IF(E727="Harness blocked","BLOCKED",IF(AND(E727="Present",F727="Supplied"),1,IF(OR(E727="Missing",E727="Not reached"),0,"CHECK"))))</x:f>
      </x:c>
      <x:c r="L727" s="2" t="str">
        <x:f>IF(ISNUMBER(K727),IF(AND(K727=1,I727="No"),1,0),K727)</x:f>
      </x:c>
      <x:c r="M727" s="2" t="n">
        <x:f>IF(ISNUMBER(K727),1,0)</x:f>
        <x:v>0</x:v>
      </x:c>
    </x:row>
    <x:row r="728" ht="24" customHeight="1">
      <x:c r="A728" s="2" t="str">
        <x:v>S07.03</x:v>
      </x:c>
      <x:c r="B728" s="2" t="str">
        <x:v>S07</x:v>
      </x:c>
      <x:c r="C728" s="2" t="str">
        <x:v>qwen_clean</x:v>
      </x:c>
      <x:c r="D728" s="2" t="n">
        <x:v>2</x:v>
      </x:c>
      <x:c r="E728" s="8"/>
      <x:c r="F728" s="8"/>
      <x:c r="G728" s="9"/>
      <x:c r="H728" s="9"/>
      <x:c r="I728" s="8"/>
      <x:c r="J728" s="8"/>
      <x:c r="K728" s="2" t="str">
        <x:f>IF(OR(E728="",F728="",G728="",H728="",I728="",J728=""),"",IF(E728="Harness blocked","BLOCKED",IF(AND(E728="Present",F728="Supplied"),1,IF(OR(E728="Missing",E728="Not reached"),0,"CHECK"))))</x:f>
      </x:c>
      <x:c r="L728" s="2" t="str">
        <x:f>IF(ISNUMBER(K728),IF(AND(K728=1,I728="No"),1,0),K728)</x:f>
      </x:c>
      <x:c r="M728" s="2" t="n">
        <x:f>IF(ISNUMBER(K728),1,0)</x:f>
        <x:v>0</x:v>
      </x:c>
    </x:row>
    <x:row r="729" ht="24" customHeight="1">
      <x:c r="A729" s="2" t="str">
        <x:v>S07.04</x:v>
      </x:c>
      <x:c r="B729" s="2" t="str">
        <x:v>S07</x:v>
      </x:c>
      <x:c r="C729" s="2" t="str">
        <x:v>qwen_clean</x:v>
      </x:c>
      <x:c r="D729" s="2" t="n">
        <x:v>2</x:v>
      </x:c>
      <x:c r="E729" s="8"/>
      <x:c r="F729" s="8"/>
      <x:c r="G729" s="9"/>
      <x:c r="H729" s="9"/>
      <x:c r="I729" s="8"/>
      <x:c r="J729" s="8"/>
      <x:c r="K729" s="2" t="str">
        <x:f>IF(OR(E729="",F729="",G729="",H729="",I729="",J729=""),"",IF(E729="Harness blocked","BLOCKED",IF(AND(E729="Present",F729="Supplied"),1,IF(OR(E729="Missing",E729="Not reached"),0,"CHECK"))))</x:f>
      </x:c>
      <x:c r="L729" s="2" t="str">
        <x:f>IF(ISNUMBER(K729),IF(AND(K729=1,I729="No"),1,0),K729)</x:f>
      </x:c>
      <x:c r="M729" s="2" t="n">
        <x:f>IF(ISNUMBER(K729),1,0)</x:f>
        <x:v>0</x:v>
      </x:c>
    </x:row>
    <x:row r="730" ht="24" customHeight="1">
      <x:c r="A730" s="2" t="str">
        <x:v>S07.05</x:v>
      </x:c>
      <x:c r="B730" s="2" t="str">
        <x:v>S07</x:v>
      </x:c>
      <x:c r="C730" s="2" t="str">
        <x:v>qwen_clean</x:v>
      </x:c>
      <x:c r="D730" s="2" t="n">
        <x:v>2</x:v>
      </x:c>
      <x:c r="E730" s="8"/>
      <x:c r="F730" s="8"/>
      <x:c r="G730" s="9"/>
      <x:c r="H730" s="9"/>
      <x:c r="I730" s="8"/>
      <x:c r="J730" s="8"/>
      <x:c r="K730" s="2" t="str">
        <x:f>IF(OR(E730="",F730="",G730="",H730="",I730="",J730=""),"",IF(E730="Harness blocked","BLOCKED",IF(AND(E730="Present",F730="Supplied"),1,IF(OR(E730="Missing",E730="Not reached"),0,"CHECK"))))</x:f>
      </x:c>
      <x:c r="L730" s="2" t="str">
        <x:f>IF(ISNUMBER(K730),IF(AND(K730=1,I730="No"),1,0),K730)</x:f>
      </x:c>
      <x:c r="M730" s="2" t="n">
        <x:f>IF(ISNUMBER(K730),1,0)</x:f>
        <x:v>0</x:v>
      </x:c>
    </x:row>
    <x:row r="731" ht="24" customHeight="1">
      <x:c r="A731" s="2" t="str">
        <x:v>S07.06</x:v>
      </x:c>
      <x:c r="B731" s="2" t="str">
        <x:v>S07</x:v>
      </x:c>
      <x:c r="C731" s="2" t="str">
        <x:v>qwen_clean</x:v>
      </x:c>
      <x:c r="D731" s="2" t="n">
        <x:v>2</x:v>
      </x:c>
      <x:c r="E731" s="8"/>
      <x:c r="F731" s="8"/>
      <x:c r="G731" s="9"/>
      <x:c r="H731" s="9"/>
      <x:c r="I731" s="8"/>
      <x:c r="J731" s="8"/>
      <x:c r="K731" s="2" t="str">
        <x:f>IF(OR(E731="",F731="",G731="",H731="",I731="",J731=""),"",IF(E731="Harness blocked","BLOCKED",IF(AND(E731="Present",F731="Supplied"),1,IF(OR(E731="Missing",E731="Not reached"),0,"CHECK"))))</x:f>
      </x:c>
      <x:c r="L731" s="2" t="str">
        <x:f>IF(ISNUMBER(K731),IF(AND(K731=1,I731="No"),1,0),K731)</x:f>
      </x:c>
      <x:c r="M731" s="2" t="n">
        <x:f>IF(ISNUMBER(K731),1,0)</x:f>
        <x:v>0</x:v>
      </x:c>
    </x:row>
    <x:row r="732" ht="24" customHeight="1">
      <x:c r="A732" s="2" t="str">
        <x:v>S07.07</x:v>
      </x:c>
      <x:c r="B732" s="2" t="str">
        <x:v>S07</x:v>
      </x:c>
      <x:c r="C732" s="2" t="str">
        <x:v>qwen_clean</x:v>
      </x:c>
      <x:c r="D732" s="2" t="n">
        <x:v>2</x:v>
      </x:c>
      <x:c r="E732" s="8"/>
      <x:c r="F732" s="8"/>
      <x:c r="G732" s="9"/>
      <x:c r="H732" s="9"/>
      <x:c r="I732" s="8"/>
      <x:c r="J732" s="8"/>
      <x:c r="K732" s="2" t="str">
        <x:f>IF(OR(E732="",F732="",G732="",H732="",I732="",J732=""),"",IF(E732="Harness blocked","BLOCKED",IF(AND(E732="Present",F732="Supplied"),1,IF(OR(E732="Missing",E732="Not reached"),0,"CHECK"))))</x:f>
      </x:c>
      <x:c r="L732" s="2" t="str">
        <x:f>IF(ISNUMBER(K732),IF(AND(K732=1,I732="No"),1,0),K732)</x:f>
      </x:c>
      <x:c r="M732" s="2" t="n">
        <x:f>IF(ISNUMBER(K732),1,0)</x:f>
        <x:v>0</x:v>
      </x:c>
    </x:row>
    <x:row r="733" ht="24" customHeight="1">
      <x:c r="A733" s="2" t="str">
        <x:v>S07.08</x:v>
      </x:c>
      <x:c r="B733" s="2" t="str">
        <x:v>S07</x:v>
      </x:c>
      <x:c r="C733" s="2" t="str">
        <x:v>qwen_clean</x:v>
      </x:c>
      <x:c r="D733" s="2" t="n">
        <x:v>2</x:v>
      </x:c>
      <x:c r="E733" s="8"/>
      <x:c r="F733" s="8"/>
      <x:c r="G733" s="9"/>
      <x:c r="H733" s="9"/>
      <x:c r="I733" s="8"/>
      <x:c r="J733" s="8"/>
      <x:c r="K733" s="2" t="str">
        <x:f>IF(OR(E733="",F733="",G733="",H733="",I733="",J733=""),"",IF(E733="Harness blocked","BLOCKED",IF(AND(E733="Present",F733="Supplied"),1,IF(OR(E733="Missing",E733="Not reached"),0,"CHECK"))))</x:f>
      </x:c>
      <x:c r="L733" s="2" t="str">
        <x:f>IF(ISNUMBER(K733),IF(AND(K733=1,I733="No"),1,0),K733)</x:f>
      </x:c>
      <x:c r="M733" s="2" t="n">
        <x:f>IF(ISNUMBER(K733),1,0)</x:f>
        <x:v>0</x:v>
      </x:c>
    </x:row>
    <x:row r="734" ht="24" customHeight="1">
      <x:c r="A734" s="2" t="str">
        <x:v>S08.01</x:v>
      </x:c>
      <x:c r="B734" s="2" t="str">
        <x:v>S08</x:v>
      </x:c>
      <x:c r="C734" s="2" t="str">
        <x:v>qwen_clean</x:v>
      </x:c>
      <x:c r="D734" s="2" t="n">
        <x:v>2</x:v>
      </x:c>
      <x:c r="E734" s="8"/>
      <x:c r="F734" s="8"/>
      <x:c r="G734" s="9"/>
      <x:c r="H734" s="9"/>
      <x:c r="I734" s="8"/>
      <x:c r="J734" s="8"/>
      <x:c r="K734" s="2" t="str">
        <x:f>IF(OR(E734="",F734="",G734="",H734="",I734="",J734=""),"",IF(E734="Harness blocked","BLOCKED",IF(AND(E734="Present",F734="Supplied"),1,IF(OR(E734="Missing",E734="Not reached"),0,"CHECK"))))</x:f>
      </x:c>
      <x:c r="L734" s="2" t="str">
        <x:f>IF(ISNUMBER(K734),IF(AND(K734=1,I734="No"),1,0),K734)</x:f>
      </x:c>
      <x:c r="M734" s="2" t="n">
        <x:f>IF(ISNUMBER(K734),1,0)</x:f>
        <x:v>0</x:v>
      </x:c>
    </x:row>
    <x:row r="735" ht="24" customHeight="1">
      <x:c r="A735" s="2" t="str">
        <x:v>S08.02</x:v>
      </x:c>
      <x:c r="B735" s="2" t="str">
        <x:v>S08</x:v>
      </x:c>
      <x:c r="C735" s="2" t="str">
        <x:v>qwen_clean</x:v>
      </x:c>
      <x:c r="D735" s="2" t="n">
        <x:v>2</x:v>
      </x:c>
      <x:c r="E735" s="8"/>
      <x:c r="F735" s="8"/>
      <x:c r="G735" s="9"/>
      <x:c r="H735" s="9"/>
      <x:c r="I735" s="8"/>
      <x:c r="J735" s="8"/>
      <x:c r="K735" s="2" t="str">
        <x:f>IF(OR(E735="",F735="",G735="",H735="",I735="",J735=""),"",IF(E735="Harness blocked","BLOCKED",IF(AND(E735="Present",F735="Supplied"),1,IF(OR(E735="Missing",E735="Not reached"),0,"CHECK"))))</x:f>
      </x:c>
      <x:c r="L735" s="2" t="str">
        <x:f>IF(ISNUMBER(K735),IF(AND(K735=1,I735="No"),1,0),K735)</x:f>
      </x:c>
      <x:c r="M735" s="2" t="n">
        <x:f>IF(ISNUMBER(K735),1,0)</x:f>
        <x:v>0</x:v>
      </x:c>
    </x:row>
    <x:row r="736" ht="24" customHeight="1">
      <x:c r="A736" s="2" t="str">
        <x:v>S08.03</x:v>
      </x:c>
      <x:c r="B736" s="2" t="str">
        <x:v>S08</x:v>
      </x:c>
      <x:c r="C736" s="2" t="str">
        <x:v>qwen_clean</x:v>
      </x:c>
      <x:c r="D736" s="2" t="n">
        <x:v>2</x:v>
      </x:c>
      <x:c r="E736" s="8"/>
      <x:c r="F736" s="8"/>
      <x:c r="G736" s="9"/>
      <x:c r="H736" s="9"/>
      <x:c r="I736" s="8"/>
      <x:c r="J736" s="8"/>
      <x:c r="K736" s="2" t="str">
        <x:f>IF(OR(E736="",F736="",G736="",H736="",I736="",J736=""),"",IF(E736="Harness blocked","BLOCKED",IF(AND(E736="Present",F736="Supplied"),1,IF(OR(E736="Missing",E736="Not reached"),0,"CHECK"))))</x:f>
      </x:c>
      <x:c r="L736" s="2" t="str">
        <x:f>IF(ISNUMBER(K736),IF(AND(K736=1,I736="No"),1,0),K736)</x:f>
      </x:c>
      <x:c r="M736" s="2" t="n">
        <x:f>IF(ISNUMBER(K736),1,0)</x:f>
        <x:v>0</x:v>
      </x:c>
    </x:row>
    <x:row r="737" ht="24" customHeight="1">
      <x:c r="A737" s="2" t="str">
        <x:v>S08.04</x:v>
      </x:c>
      <x:c r="B737" s="2" t="str">
        <x:v>S08</x:v>
      </x:c>
      <x:c r="C737" s="2" t="str">
        <x:v>qwen_clean</x:v>
      </x:c>
      <x:c r="D737" s="2" t="n">
        <x:v>2</x:v>
      </x:c>
      <x:c r="E737" s="8"/>
      <x:c r="F737" s="8"/>
      <x:c r="G737" s="9"/>
      <x:c r="H737" s="9"/>
      <x:c r="I737" s="8"/>
      <x:c r="J737" s="8"/>
      <x:c r="K737" s="2" t="str">
        <x:f>IF(OR(E737="",F737="",G737="",H737="",I737="",J737=""),"",IF(E737="Harness blocked","BLOCKED",IF(AND(E737="Present",F737="Supplied"),1,IF(OR(E737="Missing",E737="Not reached"),0,"CHECK"))))</x:f>
      </x:c>
      <x:c r="L737" s="2" t="str">
        <x:f>IF(ISNUMBER(K737),IF(AND(K737=1,I737="No"),1,0),K737)</x:f>
      </x:c>
      <x:c r="M737" s="2" t="n">
        <x:f>IF(ISNUMBER(K737),1,0)</x:f>
        <x:v>0</x:v>
      </x:c>
    </x:row>
    <x:row r="738" ht="24" customHeight="1">
      <x:c r="A738" s="2" t="str">
        <x:v>S08.05</x:v>
      </x:c>
      <x:c r="B738" s="2" t="str">
        <x:v>S08</x:v>
      </x:c>
      <x:c r="C738" s="2" t="str">
        <x:v>qwen_clean</x:v>
      </x:c>
      <x:c r="D738" s="2" t="n">
        <x:v>2</x:v>
      </x:c>
      <x:c r="E738" s="8"/>
      <x:c r="F738" s="8"/>
      <x:c r="G738" s="9"/>
      <x:c r="H738" s="9"/>
      <x:c r="I738" s="8"/>
      <x:c r="J738" s="8"/>
      <x:c r="K738" s="2" t="str">
        <x:f>IF(OR(E738="",F738="",G738="",H738="",I738="",J738=""),"",IF(E738="Harness blocked","BLOCKED",IF(AND(E738="Present",F738="Supplied"),1,IF(OR(E738="Missing",E738="Not reached"),0,"CHECK"))))</x:f>
      </x:c>
      <x:c r="L738" s="2" t="str">
        <x:f>IF(ISNUMBER(K738),IF(AND(K738=1,I738="No"),1,0),K738)</x:f>
      </x:c>
      <x:c r="M738" s="2" t="n">
        <x:f>IF(ISNUMBER(K738),1,0)</x:f>
        <x:v>0</x:v>
      </x:c>
    </x:row>
    <x:row r="739" ht="24" customHeight="1">
      <x:c r="A739" s="2" t="str">
        <x:v>S08.06</x:v>
      </x:c>
      <x:c r="B739" s="2" t="str">
        <x:v>S08</x:v>
      </x:c>
      <x:c r="C739" s="2" t="str">
        <x:v>qwen_clean</x:v>
      </x:c>
      <x:c r="D739" s="2" t="n">
        <x:v>2</x:v>
      </x:c>
      <x:c r="E739" s="8"/>
      <x:c r="F739" s="8"/>
      <x:c r="G739" s="9"/>
      <x:c r="H739" s="9"/>
      <x:c r="I739" s="8"/>
      <x:c r="J739" s="8"/>
      <x:c r="K739" s="2" t="str">
        <x:f>IF(OR(E739="",F739="",G739="",H739="",I739="",J739=""),"",IF(E739="Harness blocked","BLOCKED",IF(AND(E739="Present",F739="Supplied"),1,IF(OR(E739="Missing",E739="Not reached"),0,"CHECK"))))</x:f>
      </x:c>
      <x:c r="L739" s="2" t="str">
        <x:f>IF(ISNUMBER(K739),IF(AND(K739=1,I739="No"),1,0),K739)</x:f>
      </x:c>
      <x:c r="M739" s="2" t="n">
        <x:f>IF(ISNUMBER(K739),1,0)</x:f>
        <x:v>0</x:v>
      </x:c>
    </x:row>
    <x:row r="740" ht="24" customHeight="1">
      <x:c r="A740" s="2" t="str">
        <x:v>S08.07</x:v>
      </x:c>
      <x:c r="B740" s="2" t="str">
        <x:v>S08</x:v>
      </x:c>
      <x:c r="C740" s="2" t="str">
        <x:v>qwen_clean</x:v>
      </x:c>
      <x:c r="D740" s="2" t="n">
        <x:v>2</x:v>
      </x:c>
      <x:c r="E740" s="8"/>
      <x:c r="F740" s="8"/>
      <x:c r="G740" s="9"/>
      <x:c r="H740" s="9"/>
      <x:c r="I740" s="8"/>
      <x:c r="J740" s="8"/>
      <x:c r="K740" s="2" t="str">
        <x:f>IF(OR(E740="",F740="",G740="",H740="",I740="",J740=""),"",IF(E740="Harness blocked","BLOCKED",IF(AND(E740="Present",F740="Supplied"),1,IF(OR(E740="Missing",E740="Not reached"),0,"CHECK"))))</x:f>
      </x:c>
      <x:c r="L740" s="2" t="str">
        <x:f>IF(ISNUMBER(K740),IF(AND(K740=1,I740="No"),1,0),K740)</x:f>
      </x:c>
      <x:c r="M740" s="2" t="n">
        <x:f>IF(ISNUMBER(K740),1,0)</x:f>
        <x:v>0</x:v>
      </x:c>
    </x:row>
    <x:row r="741" ht="24" customHeight="1">
      <x:c r="A741" s="2" t="str">
        <x:v>S08.08</x:v>
      </x:c>
      <x:c r="B741" s="2" t="str">
        <x:v>S08</x:v>
      </x:c>
      <x:c r="C741" s="2" t="str">
        <x:v>qwen_clean</x:v>
      </x:c>
      <x:c r="D741" s="2" t="n">
        <x:v>2</x:v>
      </x:c>
      <x:c r="E741" s="8"/>
      <x:c r="F741" s="8"/>
      <x:c r="G741" s="9"/>
      <x:c r="H741" s="9"/>
      <x:c r="I741" s="8"/>
      <x:c r="J741" s="8"/>
      <x:c r="K741" s="2" t="str">
        <x:f>IF(OR(E741="",F741="",G741="",H741="",I741="",J741=""),"",IF(E741="Harness blocked","BLOCKED",IF(AND(E741="Present",F741="Supplied"),1,IF(OR(E741="Missing",E741="Not reached"),0,"CHECK"))))</x:f>
      </x:c>
      <x:c r="L741" s="2" t="str">
        <x:f>IF(ISNUMBER(K741),IF(AND(K741=1,I741="No"),1,0),K741)</x:f>
      </x:c>
      <x:c r="M741" s="2" t="n">
        <x:f>IF(ISNUMBER(K741),1,0)</x:f>
        <x:v>0</x:v>
      </x:c>
    </x:row>
    <x:row r="742" ht="24" customHeight="1">
      <x:c r="A742" s="2" t="str">
        <x:v>S09.01</x:v>
      </x:c>
      <x:c r="B742" s="2" t="str">
        <x:v>S09</x:v>
      </x:c>
      <x:c r="C742" s="2" t="str">
        <x:v>qwen_clean</x:v>
      </x:c>
      <x:c r="D742" s="2" t="n">
        <x:v>2</x:v>
      </x:c>
      <x:c r="E742" s="8"/>
      <x:c r="F742" s="8"/>
      <x:c r="G742" s="9"/>
      <x:c r="H742" s="9"/>
      <x:c r="I742" s="8"/>
      <x:c r="J742" s="8"/>
      <x:c r="K742" s="2" t="str">
        <x:f>IF(OR(E742="",F742="",G742="",H742="",I742="",J742=""),"",IF(E742="Harness blocked","BLOCKED",IF(AND(E742="Present",F742="Supplied"),1,IF(OR(E742="Missing",E742="Not reached"),0,"CHECK"))))</x:f>
      </x:c>
      <x:c r="L742" s="2" t="str">
        <x:f>IF(ISNUMBER(K742),IF(AND(K742=1,I742="No"),1,0),K742)</x:f>
      </x:c>
      <x:c r="M742" s="2" t="n">
        <x:f>IF(ISNUMBER(K742),1,0)</x:f>
        <x:v>0</x:v>
      </x:c>
    </x:row>
    <x:row r="743" ht="24" customHeight="1">
      <x:c r="A743" s="2" t="str">
        <x:v>S09.02</x:v>
      </x:c>
      <x:c r="B743" s="2" t="str">
        <x:v>S09</x:v>
      </x:c>
      <x:c r="C743" s="2" t="str">
        <x:v>qwen_clean</x:v>
      </x:c>
      <x:c r="D743" s="2" t="n">
        <x:v>2</x:v>
      </x:c>
      <x:c r="E743" s="8"/>
      <x:c r="F743" s="8"/>
      <x:c r="G743" s="9"/>
      <x:c r="H743" s="9"/>
      <x:c r="I743" s="8"/>
      <x:c r="J743" s="8"/>
      <x:c r="K743" s="2" t="str">
        <x:f>IF(OR(E743="",F743="",G743="",H743="",I743="",J743=""),"",IF(E743="Harness blocked","BLOCKED",IF(AND(E743="Present",F743="Supplied"),1,IF(OR(E743="Missing",E743="Not reached"),0,"CHECK"))))</x:f>
      </x:c>
      <x:c r="L743" s="2" t="str">
        <x:f>IF(ISNUMBER(K743),IF(AND(K743=1,I743="No"),1,0),K743)</x:f>
      </x:c>
      <x:c r="M743" s="2" t="n">
        <x:f>IF(ISNUMBER(K743),1,0)</x:f>
        <x:v>0</x:v>
      </x:c>
    </x:row>
    <x:row r="744" ht="24" customHeight="1">
      <x:c r="A744" s="2" t="str">
        <x:v>S09.03</x:v>
      </x:c>
      <x:c r="B744" s="2" t="str">
        <x:v>S09</x:v>
      </x:c>
      <x:c r="C744" s="2" t="str">
        <x:v>qwen_clean</x:v>
      </x:c>
      <x:c r="D744" s="2" t="n">
        <x:v>2</x:v>
      </x:c>
      <x:c r="E744" s="8"/>
      <x:c r="F744" s="8"/>
      <x:c r="G744" s="9"/>
      <x:c r="H744" s="9"/>
      <x:c r="I744" s="8"/>
      <x:c r="J744" s="8"/>
      <x:c r="K744" s="2" t="str">
        <x:f>IF(OR(E744="",F744="",G744="",H744="",I744="",J744=""),"",IF(E744="Harness blocked","BLOCKED",IF(AND(E744="Present",F744="Supplied"),1,IF(OR(E744="Missing",E744="Not reached"),0,"CHECK"))))</x:f>
      </x:c>
      <x:c r="L744" s="2" t="str">
        <x:f>IF(ISNUMBER(K744),IF(AND(K744=1,I744="No"),1,0),K744)</x:f>
      </x:c>
      <x:c r="M744" s="2" t="n">
        <x:f>IF(ISNUMBER(K744),1,0)</x:f>
        <x:v>0</x:v>
      </x:c>
    </x:row>
    <x:row r="745" ht="24" customHeight="1">
      <x:c r="A745" s="2" t="str">
        <x:v>S09.04</x:v>
      </x:c>
      <x:c r="B745" s="2" t="str">
        <x:v>S09</x:v>
      </x:c>
      <x:c r="C745" s="2" t="str">
        <x:v>qwen_clean</x:v>
      </x:c>
      <x:c r="D745" s="2" t="n">
        <x:v>2</x:v>
      </x:c>
      <x:c r="E745" s="8"/>
      <x:c r="F745" s="8"/>
      <x:c r="G745" s="9"/>
      <x:c r="H745" s="9"/>
      <x:c r="I745" s="8"/>
      <x:c r="J745" s="8"/>
      <x:c r="K745" s="2" t="str">
        <x:f>IF(OR(E745="",F745="",G745="",H745="",I745="",J745=""),"",IF(E745="Harness blocked","BLOCKED",IF(AND(E745="Present",F745="Supplied"),1,IF(OR(E745="Missing",E745="Not reached"),0,"CHECK"))))</x:f>
      </x:c>
      <x:c r="L745" s="2" t="str">
        <x:f>IF(ISNUMBER(K745),IF(AND(K745=1,I745="No"),1,0),K745)</x:f>
      </x:c>
      <x:c r="M745" s="2" t="n">
        <x:f>IF(ISNUMBER(K745),1,0)</x:f>
        <x:v>0</x:v>
      </x:c>
    </x:row>
    <x:row r="746" ht="24" customHeight="1">
      <x:c r="A746" s="2" t="str">
        <x:v>S09.05</x:v>
      </x:c>
      <x:c r="B746" s="2" t="str">
        <x:v>S09</x:v>
      </x:c>
      <x:c r="C746" s="2" t="str">
        <x:v>qwen_clean</x:v>
      </x:c>
      <x:c r="D746" s="2" t="n">
        <x:v>2</x:v>
      </x:c>
      <x:c r="E746" s="8"/>
      <x:c r="F746" s="8"/>
      <x:c r="G746" s="9"/>
      <x:c r="H746" s="9"/>
      <x:c r="I746" s="8"/>
      <x:c r="J746" s="8"/>
      <x:c r="K746" s="2" t="str">
        <x:f>IF(OR(E746="",F746="",G746="",H746="",I746="",J746=""),"",IF(E746="Harness blocked","BLOCKED",IF(AND(E746="Present",F746="Supplied"),1,IF(OR(E746="Missing",E746="Not reached"),0,"CHECK"))))</x:f>
      </x:c>
      <x:c r="L746" s="2" t="str">
        <x:f>IF(ISNUMBER(K746),IF(AND(K746=1,I746="No"),1,0),K746)</x:f>
      </x:c>
      <x:c r="M746" s="2" t="n">
        <x:f>IF(ISNUMBER(K746),1,0)</x:f>
        <x:v>0</x:v>
      </x:c>
    </x:row>
    <x:row r="747" ht="24" customHeight="1">
      <x:c r="A747" s="2" t="str">
        <x:v>S09.06</x:v>
      </x:c>
      <x:c r="B747" s="2" t="str">
        <x:v>S09</x:v>
      </x:c>
      <x:c r="C747" s="2" t="str">
        <x:v>qwen_clean</x:v>
      </x:c>
      <x:c r="D747" s="2" t="n">
        <x:v>2</x:v>
      </x:c>
      <x:c r="E747" s="8"/>
      <x:c r="F747" s="8"/>
      <x:c r="G747" s="9"/>
      <x:c r="H747" s="9"/>
      <x:c r="I747" s="8"/>
      <x:c r="J747" s="8"/>
      <x:c r="K747" s="2" t="str">
        <x:f>IF(OR(E747="",F747="",G747="",H747="",I747="",J747=""),"",IF(E747="Harness blocked","BLOCKED",IF(AND(E747="Present",F747="Supplied"),1,IF(OR(E747="Missing",E747="Not reached"),0,"CHECK"))))</x:f>
      </x:c>
      <x:c r="L747" s="2" t="str">
        <x:f>IF(ISNUMBER(K747),IF(AND(K747=1,I747="No"),1,0),K747)</x:f>
      </x:c>
      <x:c r="M747" s="2" t="n">
        <x:f>IF(ISNUMBER(K747),1,0)</x:f>
        <x:v>0</x:v>
      </x:c>
    </x:row>
    <x:row r="748" ht="24" customHeight="1">
      <x:c r="A748" s="2" t="str">
        <x:v>S09.07</x:v>
      </x:c>
      <x:c r="B748" s="2" t="str">
        <x:v>S09</x:v>
      </x:c>
      <x:c r="C748" s="2" t="str">
        <x:v>qwen_clean</x:v>
      </x:c>
      <x:c r="D748" s="2" t="n">
        <x:v>2</x:v>
      </x:c>
      <x:c r="E748" s="8"/>
      <x:c r="F748" s="8"/>
      <x:c r="G748" s="9"/>
      <x:c r="H748" s="9"/>
      <x:c r="I748" s="8"/>
      <x:c r="J748" s="8"/>
      <x:c r="K748" s="2" t="str">
        <x:f>IF(OR(E748="",F748="",G748="",H748="",I748="",J748=""),"",IF(E748="Harness blocked","BLOCKED",IF(AND(E748="Present",F748="Supplied"),1,IF(OR(E748="Missing",E748="Not reached"),0,"CHECK"))))</x:f>
      </x:c>
      <x:c r="L748" s="2" t="str">
        <x:f>IF(ISNUMBER(K748),IF(AND(K748=1,I748="No"),1,0),K748)</x:f>
      </x:c>
      <x:c r="M748" s="2" t="n">
        <x:f>IF(ISNUMBER(K748),1,0)</x:f>
        <x:v>0</x:v>
      </x:c>
    </x:row>
    <x:row r="749" ht="24" customHeight="1">
      <x:c r="A749" s="2" t="str">
        <x:v>S09.08</x:v>
      </x:c>
      <x:c r="B749" s="2" t="str">
        <x:v>S09</x:v>
      </x:c>
      <x:c r="C749" s="2" t="str">
        <x:v>qwen_clean</x:v>
      </x:c>
      <x:c r="D749" s="2" t="n">
        <x:v>2</x:v>
      </x:c>
      <x:c r="E749" s="8"/>
      <x:c r="F749" s="8"/>
      <x:c r="G749" s="9"/>
      <x:c r="H749" s="9"/>
      <x:c r="I749" s="8"/>
      <x:c r="J749" s="8"/>
      <x:c r="K749" s="2" t="str">
        <x:f>IF(OR(E749="",F749="",G749="",H749="",I749="",J749=""),"",IF(E749="Harness blocked","BLOCKED",IF(AND(E749="Present",F749="Supplied"),1,IF(OR(E749="Missing",E749="Not reached"),0,"CHECK"))))</x:f>
      </x:c>
      <x:c r="L749" s="2" t="str">
        <x:f>IF(ISNUMBER(K749),IF(AND(K749=1,I749="No"),1,0),K749)</x:f>
      </x:c>
      <x:c r="M749" s="2" t="n">
        <x:f>IF(ISNUMBER(K749),1,0)</x:f>
        <x:v>0</x:v>
      </x:c>
    </x:row>
    <x:row r="750" ht="24" customHeight="1">
      <x:c r="A750" s="2" t="str">
        <x:v>S10.01</x:v>
      </x:c>
      <x:c r="B750" s="2" t="str">
        <x:v>S10</x:v>
      </x:c>
      <x:c r="C750" s="2" t="str">
        <x:v>qwen_clean</x:v>
      </x:c>
      <x:c r="D750" s="2" t="n">
        <x:v>2</x:v>
      </x:c>
      <x:c r="E750" s="8"/>
      <x:c r="F750" s="8"/>
      <x:c r="G750" s="9"/>
      <x:c r="H750" s="9"/>
      <x:c r="I750" s="8"/>
      <x:c r="J750" s="8"/>
      <x:c r="K750" s="2" t="str">
        <x:f>IF(OR(E750="",F750="",G750="",H750="",I750="",J750=""),"",IF(E750="Harness blocked","BLOCKED",IF(AND(E750="Present",F750="Supplied"),1,IF(OR(E750="Missing",E750="Not reached"),0,"CHECK"))))</x:f>
      </x:c>
      <x:c r="L750" s="2" t="str">
        <x:f>IF(ISNUMBER(K750),IF(AND(K750=1,I750="No"),1,0),K750)</x:f>
      </x:c>
      <x:c r="M750" s="2" t="n">
        <x:f>IF(ISNUMBER(K750),1,0)</x:f>
        <x:v>0</x:v>
      </x:c>
    </x:row>
    <x:row r="751" ht="24" customHeight="1">
      <x:c r="A751" s="2" t="str">
        <x:v>S10.02</x:v>
      </x:c>
      <x:c r="B751" s="2" t="str">
        <x:v>S10</x:v>
      </x:c>
      <x:c r="C751" s="2" t="str">
        <x:v>qwen_clean</x:v>
      </x:c>
      <x:c r="D751" s="2" t="n">
        <x:v>2</x:v>
      </x:c>
      <x:c r="E751" s="8"/>
      <x:c r="F751" s="8"/>
      <x:c r="G751" s="9"/>
      <x:c r="H751" s="9"/>
      <x:c r="I751" s="8"/>
      <x:c r="J751" s="8"/>
      <x:c r="K751" s="2" t="str">
        <x:f>IF(OR(E751="",F751="",G751="",H751="",I751="",J751=""),"",IF(E751="Harness blocked","BLOCKED",IF(AND(E751="Present",F751="Supplied"),1,IF(OR(E751="Missing",E751="Not reached"),0,"CHECK"))))</x:f>
      </x:c>
      <x:c r="L751" s="2" t="str">
        <x:f>IF(ISNUMBER(K751),IF(AND(K751=1,I751="No"),1,0),K751)</x:f>
      </x:c>
      <x:c r="M751" s="2" t="n">
        <x:f>IF(ISNUMBER(K751),1,0)</x:f>
        <x:v>0</x:v>
      </x:c>
    </x:row>
    <x:row r="752" ht="24" customHeight="1">
      <x:c r="A752" s="2" t="str">
        <x:v>S10.03</x:v>
      </x:c>
      <x:c r="B752" s="2" t="str">
        <x:v>S10</x:v>
      </x:c>
      <x:c r="C752" s="2" t="str">
        <x:v>qwen_clean</x:v>
      </x:c>
      <x:c r="D752" s="2" t="n">
        <x:v>2</x:v>
      </x:c>
      <x:c r="E752" s="8"/>
      <x:c r="F752" s="8"/>
      <x:c r="G752" s="9"/>
      <x:c r="H752" s="9"/>
      <x:c r="I752" s="8"/>
      <x:c r="J752" s="8"/>
      <x:c r="K752" s="2" t="str">
        <x:f>IF(OR(E752="",F752="",G752="",H752="",I752="",J752=""),"",IF(E752="Harness blocked","BLOCKED",IF(AND(E752="Present",F752="Supplied"),1,IF(OR(E752="Missing",E752="Not reached"),0,"CHECK"))))</x:f>
      </x:c>
      <x:c r="L752" s="2" t="str">
        <x:f>IF(ISNUMBER(K752),IF(AND(K752=1,I752="No"),1,0),K752)</x:f>
      </x:c>
      <x:c r="M752" s="2" t="n">
        <x:f>IF(ISNUMBER(K752),1,0)</x:f>
        <x:v>0</x:v>
      </x:c>
    </x:row>
    <x:row r="753" ht="24" customHeight="1">
      <x:c r="A753" s="2" t="str">
        <x:v>S10.04</x:v>
      </x:c>
      <x:c r="B753" s="2" t="str">
        <x:v>S10</x:v>
      </x:c>
      <x:c r="C753" s="2" t="str">
        <x:v>qwen_clean</x:v>
      </x:c>
      <x:c r="D753" s="2" t="n">
        <x:v>2</x:v>
      </x:c>
      <x:c r="E753" s="8"/>
      <x:c r="F753" s="8"/>
      <x:c r="G753" s="9"/>
      <x:c r="H753" s="9"/>
      <x:c r="I753" s="8"/>
      <x:c r="J753" s="8"/>
      <x:c r="K753" s="2" t="str">
        <x:f>IF(OR(E753="",F753="",G753="",H753="",I753="",J753=""),"",IF(E753="Harness blocked","BLOCKED",IF(AND(E753="Present",F753="Supplied"),1,IF(OR(E753="Missing",E753="Not reached"),0,"CHECK"))))</x:f>
      </x:c>
      <x:c r="L753" s="2" t="str">
        <x:f>IF(ISNUMBER(K753),IF(AND(K753=1,I753="No"),1,0),K753)</x:f>
      </x:c>
      <x:c r="M753" s="2" t="n">
        <x:f>IF(ISNUMBER(K753),1,0)</x:f>
        <x:v>0</x:v>
      </x:c>
    </x:row>
    <x:row r="754" ht="24" customHeight="1">
      <x:c r="A754" s="2" t="str">
        <x:v>S10.05</x:v>
      </x:c>
      <x:c r="B754" s="2" t="str">
        <x:v>S10</x:v>
      </x:c>
      <x:c r="C754" s="2" t="str">
        <x:v>qwen_clean</x:v>
      </x:c>
      <x:c r="D754" s="2" t="n">
        <x:v>2</x:v>
      </x:c>
      <x:c r="E754" s="8"/>
      <x:c r="F754" s="8"/>
      <x:c r="G754" s="9"/>
      <x:c r="H754" s="9"/>
      <x:c r="I754" s="8"/>
      <x:c r="J754" s="8"/>
      <x:c r="K754" s="2" t="str">
        <x:f>IF(OR(E754="",F754="",G754="",H754="",I754="",J754=""),"",IF(E754="Harness blocked","BLOCKED",IF(AND(E754="Present",F754="Supplied"),1,IF(OR(E754="Missing",E754="Not reached"),0,"CHECK"))))</x:f>
      </x:c>
      <x:c r="L754" s="2" t="str">
        <x:f>IF(ISNUMBER(K754),IF(AND(K754=1,I754="No"),1,0),K754)</x:f>
      </x:c>
      <x:c r="M754" s="2" t="n">
        <x:f>IF(ISNUMBER(K754),1,0)</x:f>
        <x:v>0</x:v>
      </x:c>
    </x:row>
    <x:row r="755" ht="24" customHeight="1">
      <x:c r="A755" s="2" t="str">
        <x:v>S10.06</x:v>
      </x:c>
      <x:c r="B755" s="2" t="str">
        <x:v>S10</x:v>
      </x:c>
      <x:c r="C755" s="2" t="str">
        <x:v>qwen_clean</x:v>
      </x:c>
      <x:c r="D755" s="2" t="n">
        <x:v>2</x:v>
      </x:c>
      <x:c r="E755" s="8"/>
      <x:c r="F755" s="8"/>
      <x:c r="G755" s="9"/>
      <x:c r="H755" s="9"/>
      <x:c r="I755" s="8"/>
      <x:c r="J755" s="8"/>
      <x:c r="K755" s="2" t="str">
        <x:f>IF(OR(E755="",F755="",G755="",H755="",I755="",J755=""),"",IF(E755="Harness blocked","BLOCKED",IF(AND(E755="Present",F755="Supplied"),1,IF(OR(E755="Missing",E755="Not reached"),0,"CHECK"))))</x:f>
      </x:c>
      <x:c r="L755" s="2" t="str">
        <x:f>IF(ISNUMBER(K755),IF(AND(K755=1,I755="No"),1,0),K755)</x:f>
      </x:c>
      <x:c r="M755" s="2" t="n">
        <x:f>IF(ISNUMBER(K755),1,0)</x:f>
        <x:v>0</x:v>
      </x:c>
    </x:row>
    <x:row r="756" ht="24" customHeight="1">
      <x:c r="A756" s="2" t="str">
        <x:v>S10.07</x:v>
      </x:c>
      <x:c r="B756" s="2" t="str">
        <x:v>S10</x:v>
      </x:c>
      <x:c r="C756" s="2" t="str">
        <x:v>qwen_clean</x:v>
      </x:c>
      <x:c r="D756" s="2" t="n">
        <x:v>2</x:v>
      </x:c>
      <x:c r="E756" s="8"/>
      <x:c r="F756" s="8"/>
      <x:c r="G756" s="9"/>
      <x:c r="H756" s="9"/>
      <x:c r="I756" s="8"/>
      <x:c r="J756" s="8"/>
      <x:c r="K756" s="2" t="str">
        <x:f>IF(OR(E756="",F756="",G756="",H756="",I756="",J756=""),"",IF(E756="Harness blocked","BLOCKED",IF(AND(E756="Present",F756="Supplied"),1,IF(OR(E756="Missing",E756="Not reached"),0,"CHECK"))))</x:f>
      </x:c>
      <x:c r="L756" s="2" t="str">
        <x:f>IF(ISNUMBER(K756),IF(AND(K756=1,I756="No"),1,0),K756)</x:f>
      </x:c>
      <x:c r="M756" s="2" t="n">
        <x:f>IF(ISNUMBER(K756),1,0)</x:f>
        <x:v>0</x:v>
      </x:c>
    </x:row>
    <x:row r="757" ht="24" customHeight="1">
      <x:c r="A757" s="2" t="str">
        <x:v>S10.08</x:v>
      </x:c>
      <x:c r="B757" s="2" t="str">
        <x:v>S10</x:v>
      </x:c>
      <x:c r="C757" s="2" t="str">
        <x:v>qwen_clean</x:v>
      </x:c>
      <x:c r="D757" s="2" t="n">
        <x:v>2</x:v>
      </x:c>
      <x:c r="E757" s="8"/>
      <x:c r="F757" s="8"/>
      <x:c r="G757" s="9"/>
      <x:c r="H757" s="9"/>
      <x:c r="I757" s="8"/>
      <x:c r="J757" s="8"/>
      <x:c r="K757" s="2" t="str">
        <x:f>IF(OR(E757="",F757="",G757="",H757="",I757="",J757=""),"",IF(E757="Harness blocked","BLOCKED",IF(AND(E757="Present",F757="Supplied"),1,IF(OR(E757="Missing",E757="Not reached"),0,"CHECK"))))</x:f>
      </x:c>
      <x:c r="L757" s="2" t="str">
        <x:f>IF(ISNUMBER(K757),IF(AND(K757=1,I757="No"),1,0),K757)</x:f>
      </x:c>
      <x:c r="M757" s="2" t="n">
        <x:f>IF(ISNUMBER(K757),1,0)</x:f>
        <x:v>0</x:v>
      </x:c>
    </x:row>
    <x:row r="758" ht="24" customHeight="1">
      <x:c r="A758" s="2" t="str">
        <x:v>S11.01</x:v>
      </x:c>
      <x:c r="B758" s="2" t="str">
        <x:v>S11</x:v>
      </x:c>
      <x:c r="C758" s="2" t="str">
        <x:v>qwen_clean</x:v>
      </x:c>
      <x:c r="D758" s="2" t="n">
        <x:v>2</x:v>
      </x:c>
      <x:c r="E758" s="8"/>
      <x:c r="F758" s="8"/>
      <x:c r="G758" s="9"/>
      <x:c r="H758" s="9"/>
      <x:c r="I758" s="8"/>
      <x:c r="J758" s="8"/>
      <x:c r="K758" s="2" t="str">
        <x:f>IF(OR(E758="",F758="",G758="",H758="",I758="",J758=""),"",IF(E758="Harness blocked","BLOCKED",IF(AND(E758="Present",F758="Supplied"),1,IF(OR(E758="Missing",E758="Not reached"),0,"CHECK"))))</x:f>
      </x:c>
      <x:c r="L758" s="2" t="str">
        <x:f>IF(ISNUMBER(K758),IF(AND(K758=1,I758="No"),1,0),K758)</x:f>
      </x:c>
      <x:c r="M758" s="2" t="n">
        <x:f>IF(ISNUMBER(K758),1,0)</x:f>
        <x:v>0</x:v>
      </x:c>
    </x:row>
    <x:row r="759" ht="24" customHeight="1">
      <x:c r="A759" s="2" t="str">
        <x:v>S11.02</x:v>
      </x:c>
      <x:c r="B759" s="2" t="str">
        <x:v>S11</x:v>
      </x:c>
      <x:c r="C759" s="2" t="str">
        <x:v>qwen_clean</x:v>
      </x:c>
      <x:c r="D759" s="2" t="n">
        <x:v>2</x:v>
      </x:c>
      <x:c r="E759" s="8"/>
      <x:c r="F759" s="8"/>
      <x:c r="G759" s="9"/>
      <x:c r="H759" s="9"/>
      <x:c r="I759" s="8"/>
      <x:c r="J759" s="8"/>
      <x:c r="K759" s="2" t="str">
        <x:f>IF(OR(E759="",F759="",G759="",H759="",I759="",J759=""),"",IF(E759="Harness blocked","BLOCKED",IF(AND(E759="Present",F759="Supplied"),1,IF(OR(E759="Missing",E759="Not reached"),0,"CHECK"))))</x:f>
      </x:c>
      <x:c r="L759" s="2" t="str">
        <x:f>IF(ISNUMBER(K759),IF(AND(K759=1,I759="No"),1,0),K759)</x:f>
      </x:c>
      <x:c r="M759" s="2" t="n">
        <x:f>IF(ISNUMBER(K759),1,0)</x:f>
        <x:v>0</x:v>
      </x:c>
    </x:row>
    <x:row r="760" ht="24" customHeight="1">
      <x:c r="A760" s="2" t="str">
        <x:v>S11.03</x:v>
      </x:c>
      <x:c r="B760" s="2" t="str">
        <x:v>S11</x:v>
      </x:c>
      <x:c r="C760" s="2" t="str">
        <x:v>qwen_clean</x:v>
      </x:c>
      <x:c r="D760" s="2" t="n">
        <x:v>2</x:v>
      </x:c>
      <x:c r="E760" s="8"/>
      <x:c r="F760" s="8"/>
      <x:c r="G760" s="9"/>
      <x:c r="H760" s="9"/>
      <x:c r="I760" s="8"/>
      <x:c r="J760" s="8"/>
      <x:c r="K760" s="2" t="str">
        <x:f>IF(OR(E760="",F760="",G760="",H760="",I760="",J760=""),"",IF(E760="Harness blocked","BLOCKED",IF(AND(E760="Present",F760="Supplied"),1,IF(OR(E760="Missing",E760="Not reached"),0,"CHECK"))))</x:f>
      </x:c>
      <x:c r="L760" s="2" t="str">
        <x:f>IF(ISNUMBER(K760),IF(AND(K760=1,I760="No"),1,0),K760)</x:f>
      </x:c>
      <x:c r="M760" s="2" t="n">
        <x:f>IF(ISNUMBER(K760),1,0)</x:f>
        <x:v>0</x:v>
      </x:c>
    </x:row>
    <x:row r="761" ht="24" customHeight="1">
      <x:c r="A761" s="2" t="str">
        <x:v>S11.04</x:v>
      </x:c>
      <x:c r="B761" s="2" t="str">
        <x:v>S11</x:v>
      </x:c>
      <x:c r="C761" s="2" t="str">
        <x:v>qwen_clean</x:v>
      </x:c>
      <x:c r="D761" s="2" t="n">
        <x:v>2</x:v>
      </x:c>
      <x:c r="E761" s="8"/>
      <x:c r="F761" s="8"/>
      <x:c r="G761" s="9"/>
      <x:c r="H761" s="9"/>
      <x:c r="I761" s="8"/>
      <x:c r="J761" s="8"/>
      <x:c r="K761" s="2" t="str">
        <x:f>IF(OR(E761="",F761="",G761="",H761="",I761="",J761=""),"",IF(E761="Harness blocked","BLOCKED",IF(AND(E761="Present",F761="Supplied"),1,IF(OR(E761="Missing",E761="Not reached"),0,"CHECK"))))</x:f>
      </x:c>
      <x:c r="L761" s="2" t="str">
        <x:f>IF(ISNUMBER(K761),IF(AND(K761=1,I761="No"),1,0),K761)</x:f>
      </x:c>
      <x:c r="M761" s="2" t="n">
        <x:f>IF(ISNUMBER(K761),1,0)</x:f>
        <x:v>0</x:v>
      </x:c>
    </x:row>
    <x:row r="762" ht="24" customHeight="1">
      <x:c r="A762" s="2" t="str">
        <x:v>S11.05</x:v>
      </x:c>
      <x:c r="B762" s="2" t="str">
        <x:v>S11</x:v>
      </x:c>
      <x:c r="C762" s="2" t="str">
        <x:v>qwen_clean</x:v>
      </x:c>
      <x:c r="D762" s="2" t="n">
        <x:v>2</x:v>
      </x:c>
      <x:c r="E762" s="8"/>
      <x:c r="F762" s="8"/>
      <x:c r="G762" s="9"/>
      <x:c r="H762" s="9"/>
      <x:c r="I762" s="8"/>
      <x:c r="J762" s="8"/>
      <x:c r="K762" s="2" t="str">
        <x:f>IF(OR(E762="",F762="",G762="",H762="",I762="",J762=""),"",IF(E762="Harness blocked","BLOCKED",IF(AND(E762="Present",F762="Supplied"),1,IF(OR(E762="Missing",E762="Not reached"),0,"CHECK"))))</x:f>
      </x:c>
      <x:c r="L762" s="2" t="str">
        <x:f>IF(ISNUMBER(K762),IF(AND(K762=1,I762="No"),1,0),K762)</x:f>
      </x:c>
      <x:c r="M762" s="2" t="n">
        <x:f>IF(ISNUMBER(K762),1,0)</x:f>
        <x:v>0</x:v>
      </x:c>
    </x:row>
    <x:row r="763" ht="24" customHeight="1">
      <x:c r="A763" s="2" t="str">
        <x:v>S11.06</x:v>
      </x:c>
      <x:c r="B763" s="2" t="str">
        <x:v>S11</x:v>
      </x:c>
      <x:c r="C763" s="2" t="str">
        <x:v>qwen_clean</x:v>
      </x:c>
      <x:c r="D763" s="2" t="n">
        <x:v>2</x:v>
      </x:c>
      <x:c r="E763" s="8"/>
      <x:c r="F763" s="8"/>
      <x:c r="G763" s="9"/>
      <x:c r="H763" s="9"/>
      <x:c r="I763" s="8"/>
      <x:c r="J763" s="8"/>
      <x:c r="K763" s="2" t="str">
        <x:f>IF(OR(E763="",F763="",G763="",H763="",I763="",J763=""),"",IF(E763="Harness blocked","BLOCKED",IF(AND(E763="Present",F763="Supplied"),1,IF(OR(E763="Missing",E763="Not reached"),0,"CHECK"))))</x:f>
      </x:c>
      <x:c r="L763" s="2" t="str">
        <x:f>IF(ISNUMBER(K763),IF(AND(K763=1,I763="No"),1,0),K763)</x:f>
      </x:c>
      <x:c r="M763" s="2" t="n">
        <x:f>IF(ISNUMBER(K763),1,0)</x:f>
        <x:v>0</x:v>
      </x:c>
    </x:row>
    <x:row r="764" ht="24" customHeight="1">
      <x:c r="A764" s="2" t="str">
        <x:v>S11.07</x:v>
      </x:c>
      <x:c r="B764" s="2" t="str">
        <x:v>S11</x:v>
      </x:c>
      <x:c r="C764" s="2" t="str">
        <x:v>qwen_clean</x:v>
      </x:c>
      <x:c r="D764" s="2" t="n">
        <x:v>2</x:v>
      </x:c>
      <x:c r="E764" s="8"/>
      <x:c r="F764" s="8"/>
      <x:c r="G764" s="9"/>
      <x:c r="H764" s="9"/>
      <x:c r="I764" s="8"/>
      <x:c r="J764" s="8"/>
      <x:c r="K764" s="2" t="str">
        <x:f>IF(OR(E764="",F764="",G764="",H764="",I764="",J764=""),"",IF(E764="Harness blocked","BLOCKED",IF(AND(E764="Present",F764="Supplied"),1,IF(OR(E764="Missing",E764="Not reached"),0,"CHECK"))))</x:f>
      </x:c>
      <x:c r="L764" s="2" t="str">
        <x:f>IF(ISNUMBER(K764),IF(AND(K764=1,I764="No"),1,0),K764)</x:f>
      </x:c>
      <x:c r="M764" s="2" t="n">
        <x:f>IF(ISNUMBER(K764),1,0)</x:f>
        <x:v>0</x:v>
      </x:c>
    </x:row>
    <x:row r="765" ht="24" customHeight="1">
      <x:c r="A765" s="2" t="str">
        <x:v>S11.08</x:v>
      </x:c>
      <x:c r="B765" s="2" t="str">
        <x:v>S11</x:v>
      </x:c>
      <x:c r="C765" s="2" t="str">
        <x:v>qwen_clean</x:v>
      </x:c>
      <x:c r="D765" s="2" t="n">
        <x:v>2</x:v>
      </x:c>
      <x:c r="E765" s="8"/>
      <x:c r="F765" s="8"/>
      <x:c r="G765" s="9"/>
      <x:c r="H765" s="9"/>
      <x:c r="I765" s="8"/>
      <x:c r="J765" s="8"/>
      <x:c r="K765" s="2" t="str">
        <x:f>IF(OR(E765="",F765="",G765="",H765="",I765="",J765=""),"",IF(E765="Harness blocked","BLOCKED",IF(AND(E765="Present",F765="Supplied"),1,IF(OR(E765="Missing",E765="Not reached"),0,"CHECK"))))</x:f>
      </x:c>
      <x:c r="L765" s="2" t="str">
        <x:f>IF(ISNUMBER(K765),IF(AND(K765=1,I765="No"),1,0),K765)</x:f>
      </x:c>
      <x:c r="M765" s="2" t="n">
        <x:f>IF(ISNUMBER(K765),1,0)</x:f>
        <x:v>0</x:v>
      </x:c>
    </x:row>
    <x:row r="766" ht="24" customHeight="1">
      <x:c r="A766" s="2" t="str">
        <x:v>S12.01</x:v>
      </x:c>
      <x:c r="B766" s="2" t="str">
        <x:v>S12</x:v>
      </x:c>
      <x:c r="C766" s="2" t="str">
        <x:v>qwen_clean</x:v>
      </x:c>
      <x:c r="D766" s="2" t="n">
        <x:v>2</x:v>
      </x:c>
      <x:c r="E766" s="8"/>
      <x:c r="F766" s="8"/>
      <x:c r="G766" s="9"/>
      <x:c r="H766" s="9"/>
      <x:c r="I766" s="8"/>
      <x:c r="J766" s="8"/>
      <x:c r="K766" s="2" t="str">
        <x:f>IF(OR(E766="",F766="",G766="",H766="",I766="",J766=""),"",IF(E766="Harness blocked","BLOCKED",IF(AND(E766="Present",F766="Supplied"),1,IF(OR(E766="Missing",E766="Not reached"),0,"CHECK"))))</x:f>
      </x:c>
      <x:c r="L766" s="2" t="str">
        <x:f>IF(ISNUMBER(K766),IF(AND(K766=1,I766="No"),1,0),K766)</x:f>
      </x:c>
      <x:c r="M766" s="2" t="n">
        <x:f>IF(ISNUMBER(K766),1,0)</x:f>
        <x:v>0</x:v>
      </x:c>
    </x:row>
    <x:row r="767" ht="24" customHeight="1">
      <x:c r="A767" s="2" t="str">
        <x:v>S12.02</x:v>
      </x:c>
      <x:c r="B767" s="2" t="str">
        <x:v>S12</x:v>
      </x:c>
      <x:c r="C767" s="2" t="str">
        <x:v>qwen_clean</x:v>
      </x:c>
      <x:c r="D767" s="2" t="n">
        <x:v>2</x:v>
      </x:c>
      <x:c r="E767" s="8"/>
      <x:c r="F767" s="8"/>
      <x:c r="G767" s="9"/>
      <x:c r="H767" s="9"/>
      <x:c r="I767" s="8"/>
      <x:c r="J767" s="8"/>
      <x:c r="K767" s="2" t="str">
        <x:f>IF(OR(E767="",F767="",G767="",H767="",I767="",J767=""),"",IF(E767="Harness blocked","BLOCKED",IF(AND(E767="Present",F767="Supplied"),1,IF(OR(E767="Missing",E767="Not reached"),0,"CHECK"))))</x:f>
      </x:c>
      <x:c r="L767" s="2" t="str">
        <x:f>IF(ISNUMBER(K767),IF(AND(K767=1,I767="No"),1,0),K767)</x:f>
      </x:c>
      <x:c r="M767" s="2" t="n">
        <x:f>IF(ISNUMBER(K767),1,0)</x:f>
        <x:v>0</x:v>
      </x:c>
    </x:row>
    <x:row r="768" ht="24" customHeight="1">
      <x:c r="A768" s="2" t="str">
        <x:v>S12.03</x:v>
      </x:c>
      <x:c r="B768" s="2" t="str">
        <x:v>S12</x:v>
      </x:c>
      <x:c r="C768" s="2" t="str">
        <x:v>qwen_clean</x:v>
      </x:c>
      <x:c r="D768" s="2" t="n">
        <x:v>2</x:v>
      </x:c>
      <x:c r="E768" s="8"/>
      <x:c r="F768" s="8"/>
      <x:c r="G768" s="9"/>
      <x:c r="H768" s="9"/>
      <x:c r="I768" s="8"/>
      <x:c r="J768" s="8"/>
      <x:c r="K768" s="2" t="str">
        <x:f>IF(OR(E768="",F768="",G768="",H768="",I768="",J768=""),"",IF(E768="Harness blocked","BLOCKED",IF(AND(E768="Present",F768="Supplied"),1,IF(OR(E768="Missing",E768="Not reached"),0,"CHECK"))))</x:f>
      </x:c>
      <x:c r="L768" s="2" t="str">
        <x:f>IF(ISNUMBER(K768),IF(AND(K768=1,I768="No"),1,0),K768)</x:f>
      </x:c>
      <x:c r="M768" s="2" t="n">
        <x:f>IF(ISNUMBER(K768),1,0)</x:f>
        <x:v>0</x:v>
      </x:c>
    </x:row>
    <x:row r="769" ht="24" customHeight="1">
      <x:c r="A769" s="2" t="str">
        <x:v>S12.04</x:v>
      </x:c>
      <x:c r="B769" s="2" t="str">
        <x:v>S12</x:v>
      </x:c>
      <x:c r="C769" s="2" t="str">
        <x:v>qwen_clean</x:v>
      </x:c>
      <x:c r="D769" s="2" t="n">
        <x:v>2</x:v>
      </x:c>
      <x:c r="E769" s="8"/>
      <x:c r="F769" s="8"/>
      <x:c r="G769" s="9"/>
      <x:c r="H769" s="9"/>
      <x:c r="I769" s="8"/>
      <x:c r="J769" s="8"/>
      <x:c r="K769" s="2" t="str">
        <x:f>IF(OR(E769="",F769="",G769="",H769="",I769="",J769=""),"",IF(E769="Harness blocked","BLOCKED",IF(AND(E769="Present",F769="Supplied"),1,IF(OR(E769="Missing",E769="Not reached"),0,"CHECK"))))</x:f>
      </x:c>
      <x:c r="L769" s="2" t="str">
        <x:f>IF(ISNUMBER(K769),IF(AND(K769=1,I769="No"),1,0),K769)</x:f>
      </x:c>
      <x:c r="M769" s="2" t="n">
        <x:f>IF(ISNUMBER(K769),1,0)</x:f>
        <x:v>0</x:v>
      </x:c>
    </x:row>
    <x:row r="770" ht="24" customHeight="1">
      <x:c r="A770" s="2" t="str">
        <x:v>S12.05</x:v>
      </x:c>
      <x:c r="B770" s="2" t="str">
        <x:v>S12</x:v>
      </x:c>
      <x:c r="C770" s="2" t="str">
        <x:v>qwen_clean</x:v>
      </x:c>
      <x:c r="D770" s="2" t="n">
        <x:v>2</x:v>
      </x:c>
      <x:c r="E770" s="8"/>
      <x:c r="F770" s="8"/>
      <x:c r="G770" s="9"/>
      <x:c r="H770" s="9"/>
      <x:c r="I770" s="8"/>
      <x:c r="J770" s="8"/>
      <x:c r="K770" s="2" t="str">
        <x:f>IF(OR(E770="",F770="",G770="",H770="",I770="",J770=""),"",IF(E770="Harness blocked","BLOCKED",IF(AND(E770="Present",F770="Supplied"),1,IF(OR(E770="Missing",E770="Not reached"),0,"CHECK"))))</x:f>
      </x:c>
      <x:c r="L770" s="2" t="str">
        <x:f>IF(ISNUMBER(K770),IF(AND(K770=1,I770="No"),1,0),K770)</x:f>
      </x:c>
      <x:c r="M770" s="2" t="n">
        <x:f>IF(ISNUMBER(K770),1,0)</x:f>
        <x:v>0</x:v>
      </x:c>
    </x:row>
    <x:row r="771" ht="24" customHeight="1">
      <x:c r="A771" s="2" t="str">
        <x:v>S12.06</x:v>
      </x:c>
      <x:c r="B771" s="2" t="str">
        <x:v>S12</x:v>
      </x:c>
      <x:c r="C771" s="2" t="str">
        <x:v>qwen_clean</x:v>
      </x:c>
      <x:c r="D771" s="2" t="n">
        <x:v>2</x:v>
      </x:c>
      <x:c r="E771" s="8"/>
      <x:c r="F771" s="8"/>
      <x:c r="G771" s="9"/>
      <x:c r="H771" s="9"/>
      <x:c r="I771" s="8"/>
      <x:c r="J771" s="8"/>
      <x:c r="K771" s="2" t="str">
        <x:f>IF(OR(E771="",F771="",G771="",H771="",I771="",J771=""),"",IF(E771="Harness blocked","BLOCKED",IF(AND(E771="Present",F771="Supplied"),1,IF(OR(E771="Missing",E771="Not reached"),0,"CHECK"))))</x:f>
      </x:c>
      <x:c r="L771" s="2" t="str">
        <x:f>IF(ISNUMBER(K771),IF(AND(K771=1,I771="No"),1,0),K771)</x:f>
      </x:c>
      <x:c r="M771" s="2" t="n">
        <x:f>IF(ISNUMBER(K771),1,0)</x:f>
        <x:v>0</x:v>
      </x:c>
    </x:row>
    <x:row r="772" ht="24" customHeight="1">
      <x:c r="A772" s="2" t="str">
        <x:v>S12.07</x:v>
      </x:c>
      <x:c r="B772" s="2" t="str">
        <x:v>S12</x:v>
      </x:c>
      <x:c r="C772" s="2" t="str">
        <x:v>qwen_clean</x:v>
      </x:c>
      <x:c r="D772" s="2" t="n">
        <x:v>2</x:v>
      </x:c>
      <x:c r="E772" s="8"/>
      <x:c r="F772" s="8"/>
      <x:c r="G772" s="9"/>
      <x:c r="H772" s="9"/>
      <x:c r="I772" s="8"/>
      <x:c r="J772" s="8"/>
      <x:c r="K772" s="2" t="str">
        <x:f>IF(OR(E772="",F772="",G772="",H772="",I772="",J772=""),"",IF(E772="Harness blocked","BLOCKED",IF(AND(E772="Present",F772="Supplied"),1,IF(OR(E772="Missing",E772="Not reached"),0,"CHECK"))))</x:f>
      </x:c>
      <x:c r="L772" s="2" t="str">
        <x:f>IF(ISNUMBER(K772),IF(AND(K772=1,I772="No"),1,0),K772)</x:f>
      </x:c>
      <x:c r="M772" s="2" t="n">
        <x:f>IF(ISNUMBER(K772),1,0)</x:f>
        <x:v>0</x:v>
      </x:c>
    </x:row>
    <x:row r="773" ht="24" customHeight="1">
      <x:c r="A773" s="2" t="str">
        <x:v>S12.08</x:v>
      </x:c>
      <x:c r="B773" s="2" t="str">
        <x:v>S12</x:v>
      </x:c>
      <x:c r="C773" s="2" t="str">
        <x:v>qwen_clean</x:v>
      </x:c>
      <x:c r="D773" s="2" t="n">
        <x:v>2</x:v>
      </x:c>
      <x:c r="E773" s="8"/>
      <x:c r="F773" s="8"/>
      <x:c r="G773" s="9"/>
      <x:c r="H773" s="9"/>
      <x:c r="I773" s="8"/>
      <x:c r="J773" s="8"/>
      <x:c r="K773" s="2" t="str">
        <x:f>IF(OR(E773="",F773="",G773="",H773="",I773="",J773=""),"",IF(E773="Harness blocked","BLOCKED",IF(AND(E773="Present",F773="Supplied"),1,IF(OR(E773="Missing",E773="Not reached"),0,"CHECK"))))</x:f>
      </x:c>
      <x:c r="L773" s="2" t="str">
        <x:f>IF(ISNUMBER(K773),IF(AND(K773=1,I773="No"),1,0),K773)</x:f>
      </x:c>
      <x:c r="M773" s="2" t="n">
        <x:f>IF(ISNUMBER(K773),1,0)</x:f>
        <x:v>0</x:v>
      </x:c>
    </x:row>
    <x:row r="774" ht="24" customHeight="1">
      <x:c r="A774" s="2" t="str">
        <x:v>S01.01</x:v>
      </x:c>
      <x:c r="B774" s="2" t="str">
        <x:v>S01</x:v>
      </x:c>
      <x:c r="C774" s="2" t="str">
        <x:v>qwen_clean</x:v>
      </x:c>
      <x:c r="D774" s="2" t="n">
        <x:v>3</x:v>
      </x:c>
      <x:c r="E774" s="8"/>
      <x:c r="F774" s="8"/>
      <x:c r="G774" s="9"/>
      <x:c r="H774" s="9"/>
      <x:c r="I774" s="8"/>
      <x:c r="J774" s="8"/>
      <x:c r="K774" s="2" t="str">
        <x:f>IF(OR(E774="",F774="",G774="",H774="",I774="",J774=""),"",IF(E774="Harness blocked","BLOCKED",IF(AND(E774="Present",F774="Supplied"),1,IF(OR(E774="Missing",E774="Not reached"),0,"CHECK"))))</x:f>
      </x:c>
      <x:c r="L774" s="2" t="str">
        <x:f>IF(ISNUMBER(K774),IF(AND(K774=1,I774="No"),1,0),K774)</x:f>
      </x:c>
      <x:c r="M774" s="2" t="n">
        <x:f>IF(ISNUMBER(K774),1,0)</x:f>
        <x:v>0</x:v>
      </x:c>
    </x:row>
    <x:row r="775" ht="24" customHeight="1">
      <x:c r="A775" s="2" t="str">
        <x:v>S01.02</x:v>
      </x:c>
      <x:c r="B775" s="2" t="str">
        <x:v>S01</x:v>
      </x:c>
      <x:c r="C775" s="2" t="str">
        <x:v>qwen_clean</x:v>
      </x:c>
      <x:c r="D775" s="2" t="n">
        <x:v>3</x:v>
      </x:c>
      <x:c r="E775" s="8"/>
      <x:c r="F775" s="8"/>
      <x:c r="G775" s="9"/>
      <x:c r="H775" s="9"/>
      <x:c r="I775" s="8"/>
      <x:c r="J775" s="8"/>
      <x:c r="K775" s="2" t="str">
        <x:f>IF(OR(E775="",F775="",G775="",H775="",I775="",J775=""),"",IF(E775="Harness blocked","BLOCKED",IF(AND(E775="Present",F775="Supplied"),1,IF(OR(E775="Missing",E775="Not reached"),0,"CHECK"))))</x:f>
      </x:c>
      <x:c r="L775" s="2" t="str">
        <x:f>IF(ISNUMBER(K775),IF(AND(K775=1,I775="No"),1,0),K775)</x:f>
      </x:c>
      <x:c r="M775" s="2" t="n">
        <x:f>IF(ISNUMBER(K775),1,0)</x:f>
        <x:v>0</x:v>
      </x:c>
    </x:row>
    <x:row r="776" ht="24" customHeight="1">
      <x:c r="A776" s="2" t="str">
        <x:v>S01.03</x:v>
      </x:c>
      <x:c r="B776" s="2" t="str">
        <x:v>S01</x:v>
      </x:c>
      <x:c r="C776" s="2" t="str">
        <x:v>qwen_clean</x:v>
      </x:c>
      <x:c r="D776" s="2" t="n">
        <x:v>3</x:v>
      </x:c>
      <x:c r="E776" s="8"/>
      <x:c r="F776" s="8"/>
      <x:c r="G776" s="9"/>
      <x:c r="H776" s="9"/>
      <x:c r="I776" s="8"/>
      <x:c r="J776" s="8"/>
      <x:c r="K776" s="2" t="str">
        <x:f>IF(OR(E776="",F776="",G776="",H776="",I776="",J776=""),"",IF(E776="Harness blocked","BLOCKED",IF(AND(E776="Present",F776="Supplied"),1,IF(OR(E776="Missing",E776="Not reached"),0,"CHECK"))))</x:f>
      </x:c>
      <x:c r="L776" s="2" t="str">
        <x:f>IF(ISNUMBER(K776),IF(AND(K776=1,I776="No"),1,0),K776)</x:f>
      </x:c>
      <x:c r="M776" s="2" t="n">
        <x:f>IF(ISNUMBER(K776),1,0)</x:f>
        <x:v>0</x:v>
      </x:c>
    </x:row>
    <x:row r="777" ht="24" customHeight="1">
      <x:c r="A777" s="2" t="str">
        <x:v>S01.04</x:v>
      </x:c>
      <x:c r="B777" s="2" t="str">
        <x:v>S01</x:v>
      </x:c>
      <x:c r="C777" s="2" t="str">
        <x:v>qwen_clean</x:v>
      </x:c>
      <x:c r="D777" s="2" t="n">
        <x:v>3</x:v>
      </x:c>
      <x:c r="E777" s="8"/>
      <x:c r="F777" s="8"/>
      <x:c r="G777" s="9"/>
      <x:c r="H777" s="9"/>
      <x:c r="I777" s="8"/>
      <x:c r="J777" s="8"/>
      <x:c r="K777" s="2" t="str">
        <x:f>IF(OR(E777="",F777="",G777="",H777="",I777="",J777=""),"",IF(E777="Harness blocked","BLOCKED",IF(AND(E777="Present",F777="Supplied"),1,IF(OR(E777="Missing",E777="Not reached"),0,"CHECK"))))</x:f>
      </x:c>
      <x:c r="L777" s="2" t="str">
        <x:f>IF(ISNUMBER(K777),IF(AND(K777=1,I777="No"),1,0),K777)</x:f>
      </x:c>
      <x:c r="M777" s="2" t="n">
        <x:f>IF(ISNUMBER(K777),1,0)</x:f>
        <x:v>0</x:v>
      </x:c>
    </x:row>
    <x:row r="778" ht="24" customHeight="1">
      <x:c r="A778" s="2" t="str">
        <x:v>S01.05</x:v>
      </x:c>
      <x:c r="B778" s="2" t="str">
        <x:v>S01</x:v>
      </x:c>
      <x:c r="C778" s="2" t="str">
        <x:v>qwen_clean</x:v>
      </x:c>
      <x:c r="D778" s="2" t="n">
        <x:v>3</x:v>
      </x:c>
      <x:c r="E778" s="8"/>
      <x:c r="F778" s="8"/>
      <x:c r="G778" s="9"/>
      <x:c r="H778" s="9"/>
      <x:c r="I778" s="8"/>
      <x:c r="J778" s="8"/>
      <x:c r="K778" s="2" t="str">
        <x:f>IF(OR(E778="",F778="",G778="",H778="",I778="",J778=""),"",IF(E778="Harness blocked","BLOCKED",IF(AND(E778="Present",F778="Supplied"),1,IF(OR(E778="Missing",E778="Not reached"),0,"CHECK"))))</x:f>
      </x:c>
      <x:c r="L778" s="2" t="str">
        <x:f>IF(ISNUMBER(K778),IF(AND(K778=1,I778="No"),1,0),K778)</x:f>
      </x:c>
      <x:c r="M778" s="2" t="n">
        <x:f>IF(ISNUMBER(K778),1,0)</x:f>
        <x:v>0</x:v>
      </x:c>
    </x:row>
    <x:row r="779" ht="24" customHeight="1">
      <x:c r="A779" s="2" t="str">
        <x:v>S01.06</x:v>
      </x:c>
      <x:c r="B779" s="2" t="str">
        <x:v>S01</x:v>
      </x:c>
      <x:c r="C779" s="2" t="str">
        <x:v>qwen_clean</x:v>
      </x:c>
      <x:c r="D779" s="2" t="n">
        <x:v>3</x:v>
      </x:c>
      <x:c r="E779" s="8"/>
      <x:c r="F779" s="8"/>
      <x:c r="G779" s="9"/>
      <x:c r="H779" s="9"/>
      <x:c r="I779" s="8"/>
      <x:c r="J779" s="8"/>
      <x:c r="K779" s="2" t="str">
        <x:f>IF(OR(E779="",F779="",G779="",H779="",I779="",J779=""),"",IF(E779="Harness blocked","BLOCKED",IF(AND(E779="Present",F779="Supplied"),1,IF(OR(E779="Missing",E779="Not reached"),0,"CHECK"))))</x:f>
      </x:c>
      <x:c r="L779" s="2" t="str">
        <x:f>IF(ISNUMBER(K779),IF(AND(K779=1,I779="No"),1,0),K779)</x:f>
      </x:c>
      <x:c r="M779" s="2" t="n">
        <x:f>IF(ISNUMBER(K779),1,0)</x:f>
        <x:v>0</x:v>
      </x:c>
    </x:row>
    <x:row r="780" ht="24" customHeight="1">
      <x:c r="A780" s="2" t="str">
        <x:v>S01.07</x:v>
      </x:c>
      <x:c r="B780" s="2" t="str">
        <x:v>S01</x:v>
      </x:c>
      <x:c r="C780" s="2" t="str">
        <x:v>qwen_clean</x:v>
      </x:c>
      <x:c r="D780" s="2" t="n">
        <x:v>3</x:v>
      </x:c>
      <x:c r="E780" s="8"/>
      <x:c r="F780" s="8"/>
      <x:c r="G780" s="9"/>
      <x:c r="H780" s="9"/>
      <x:c r="I780" s="8"/>
      <x:c r="J780" s="8"/>
      <x:c r="K780" s="2" t="str">
        <x:f>IF(OR(E780="",F780="",G780="",H780="",I780="",J780=""),"",IF(E780="Harness blocked","BLOCKED",IF(AND(E780="Present",F780="Supplied"),1,IF(OR(E780="Missing",E780="Not reached"),0,"CHECK"))))</x:f>
      </x:c>
      <x:c r="L780" s="2" t="str">
        <x:f>IF(ISNUMBER(K780),IF(AND(K780=1,I780="No"),1,0),K780)</x:f>
      </x:c>
      <x:c r="M780" s="2" t="n">
        <x:f>IF(ISNUMBER(K780),1,0)</x:f>
        <x:v>0</x:v>
      </x:c>
    </x:row>
    <x:row r="781" ht="24" customHeight="1">
      <x:c r="A781" s="2" t="str">
        <x:v>S01.08</x:v>
      </x:c>
      <x:c r="B781" s="2" t="str">
        <x:v>S01</x:v>
      </x:c>
      <x:c r="C781" s="2" t="str">
        <x:v>qwen_clean</x:v>
      </x:c>
      <x:c r="D781" s="2" t="n">
        <x:v>3</x:v>
      </x:c>
      <x:c r="E781" s="8"/>
      <x:c r="F781" s="8"/>
      <x:c r="G781" s="9"/>
      <x:c r="H781" s="9"/>
      <x:c r="I781" s="8"/>
      <x:c r="J781" s="8"/>
      <x:c r="K781" s="2" t="str">
        <x:f>IF(OR(E781="",F781="",G781="",H781="",I781="",J781=""),"",IF(E781="Harness blocked","BLOCKED",IF(AND(E781="Present",F781="Supplied"),1,IF(OR(E781="Missing",E781="Not reached"),0,"CHECK"))))</x:f>
      </x:c>
      <x:c r="L781" s="2" t="str">
        <x:f>IF(ISNUMBER(K781),IF(AND(K781=1,I781="No"),1,0),K781)</x:f>
      </x:c>
      <x:c r="M781" s="2" t="n">
        <x:f>IF(ISNUMBER(K781),1,0)</x:f>
        <x:v>0</x:v>
      </x:c>
    </x:row>
    <x:row r="782" ht="24" customHeight="1">
      <x:c r="A782" s="2" t="str">
        <x:v>S02.01</x:v>
      </x:c>
      <x:c r="B782" s="2" t="str">
        <x:v>S02</x:v>
      </x:c>
      <x:c r="C782" s="2" t="str">
        <x:v>qwen_clean</x:v>
      </x:c>
      <x:c r="D782" s="2" t="n">
        <x:v>3</x:v>
      </x:c>
      <x:c r="E782" s="8"/>
      <x:c r="F782" s="8"/>
      <x:c r="G782" s="9"/>
      <x:c r="H782" s="9"/>
      <x:c r="I782" s="8"/>
      <x:c r="J782" s="8"/>
      <x:c r="K782" s="2" t="str">
        <x:f>IF(OR(E782="",F782="",G782="",H782="",I782="",J782=""),"",IF(E782="Harness blocked","BLOCKED",IF(AND(E782="Present",F782="Supplied"),1,IF(OR(E782="Missing",E782="Not reached"),0,"CHECK"))))</x:f>
      </x:c>
      <x:c r="L782" s="2" t="str">
        <x:f>IF(ISNUMBER(K782),IF(AND(K782=1,I782="No"),1,0),K782)</x:f>
      </x:c>
      <x:c r="M782" s="2" t="n">
        <x:f>IF(ISNUMBER(K782),1,0)</x:f>
        <x:v>0</x:v>
      </x:c>
    </x:row>
    <x:row r="783" ht="24" customHeight="1">
      <x:c r="A783" s="2" t="str">
        <x:v>S02.02</x:v>
      </x:c>
      <x:c r="B783" s="2" t="str">
        <x:v>S02</x:v>
      </x:c>
      <x:c r="C783" s="2" t="str">
        <x:v>qwen_clean</x:v>
      </x:c>
      <x:c r="D783" s="2" t="n">
        <x:v>3</x:v>
      </x:c>
      <x:c r="E783" s="8"/>
      <x:c r="F783" s="8"/>
      <x:c r="G783" s="9"/>
      <x:c r="H783" s="9"/>
      <x:c r="I783" s="8"/>
      <x:c r="J783" s="8"/>
      <x:c r="K783" s="2" t="str">
        <x:f>IF(OR(E783="",F783="",G783="",H783="",I783="",J783=""),"",IF(E783="Harness blocked","BLOCKED",IF(AND(E783="Present",F783="Supplied"),1,IF(OR(E783="Missing",E783="Not reached"),0,"CHECK"))))</x:f>
      </x:c>
      <x:c r="L783" s="2" t="str">
        <x:f>IF(ISNUMBER(K783),IF(AND(K783=1,I783="No"),1,0),K783)</x:f>
      </x:c>
      <x:c r="M783" s="2" t="n">
        <x:f>IF(ISNUMBER(K783),1,0)</x:f>
        <x:v>0</x:v>
      </x:c>
    </x:row>
    <x:row r="784" ht="24" customHeight="1">
      <x:c r="A784" s="2" t="str">
        <x:v>S02.03</x:v>
      </x:c>
      <x:c r="B784" s="2" t="str">
        <x:v>S02</x:v>
      </x:c>
      <x:c r="C784" s="2" t="str">
        <x:v>qwen_clean</x:v>
      </x:c>
      <x:c r="D784" s="2" t="n">
        <x:v>3</x:v>
      </x:c>
      <x:c r="E784" s="8"/>
      <x:c r="F784" s="8"/>
      <x:c r="G784" s="9"/>
      <x:c r="H784" s="9"/>
      <x:c r="I784" s="8"/>
      <x:c r="J784" s="8"/>
      <x:c r="K784" s="2" t="str">
        <x:f>IF(OR(E784="",F784="",G784="",H784="",I784="",J784=""),"",IF(E784="Harness blocked","BLOCKED",IF(AND(E784="Present",F784="Supplied"),1,IF(OR(E784="Missing",E784="Not reached"),0,"CHECK"))))</x:f>
      </x:c>
      <x:c r="L784" s="2" t="str">
        <x:f>IF(ISNUMBER(K784),IF(AND(K784=1,I784="No"),1,0),K784)</x:f>
      </x:c>
      <x:c r="M784" s="2" t="n">
        <x:f>IF(ISNUMBER(K784),1,0)</x:f>
        <x:v>0</x:v>
      </x:c>
    </x:row>
    <x:row r="785" ht="24" customHeight="1">
      <x:c r="A785" s="2" t="str">
        <x:v>S02.04</x:v>
      </x:c>
      <x:c r="B785" s="2" t="str">
        <x:v>S02</x:v>
      </x:c>
      <x:c r="C785" s="2" t="str">
        <x:v>qwen_clean</x:v>
      </x:c>
      <x:c r="D785" s="2" t="n">
        <x:v>3</x:v>
      </x:c>
      <x:c r="E785" s="8"/>
      <x:c r="F785" s="8"/>
      <x:c r="G785" s="9"/>
      <x:c r="H785" s="9"/>
      <x:c r="I785" s="8"/>
      <x:c r="J785" s="8"/>
      <x:c r="K785" s="2" t="str">
        <x:f>IF(OR(E785="",F785="",G785="",H785="",I785="",J785=""),"",IF(E785="Harness blocked","BLOCKED",IF(AND(E785="Present",F785="Supplied"),1,IF(OR(E785="Missing",E785="Not reached"),0,"CHECK"))))</x:f>
      </x:c>
      <x:c r="L785" s="2" t="str">
        <x:f>IF(ISNUMBER(K785),IF(AND(K785=1,I785="No"),1,0),K785)</x:f>
      </x:c>
      <x:c r="M785" s="2" t="n">
        <x:f>IF(ISNUMBER(K785),1,0)</x:f>
        <x:v>0</x:v>
      </x:c>
    </x:row>
    <x:row r="786" ht="24" customHeight="1">
      <x:c r="A786" s="2" t="str">
        <x:v>S02.05</x:v>
      </x:c>
      <x:c r="B786" s="2" t="str">
        <x:v>S02</x:v>
      </x:c>
      <x:c r="C786" s="2" t="str">
        <x:v>qwen_clean</x:v>
      </x:c>
      <x:c r="D786" s="2" t="n">
        <x:v>3</x:v>
      </x:c>
      <x:c r="E786" s="8"/>
      <x:c r="F786" s="8"/>
      <x:c r="G786" s="9"/>
      <x:c r="H786" s="9"/>
      <x:c r="I786" s="8"/>
      <x:c r="J786" s="8"/>
      <x:c r="K786" s="2" t="str">
        <x:f>IF(OR(E786="",F786="",G786="",H786="",I786="",J786=""),"",IF(E786="Harness blocked","BLOCKED",IF(AND(E786="Present",F786="Supplied"),1,IF(OR(E786="Missing",E786="Not reached"),0,"CHECK"))))</x:f>
      </x:c>
      <x:c r="L786" s="2" t="str">
        <x:f>IF(ISNUMBER(K786),IF(AND(K786=1,I786="No"),1,0),K786)</x:f>
      </x:c>
      <x:c r="M786" s="2" t="n">
        <x:f>IF(ISNUMBER(K786),1,0)</x:f>
        <x:v>0</x:v>
      </x:c>
    </x:row>
    <x:row r="787" ht="24" customHeight="1">
      <x:c r="A787" s="2" t="str">
        <x:v>S02.06</x:v>
      </x:c>
      <x:c r="B787" s="2" t="str">
        <x:v>S02</x:v>
      </x:c>
      <x:c r="C787" s="2" t="str">
        <x:v>qwen_clean</x:v>
      </x:c>
      <x:c r="D787" s="2" t="n">
        <x:v>3</x:v>
      </x:c>
      <x:c r="E787" s="8"/>
      <x:c r="F787" s="8"/>
      <x:c r="G787" s="9"/>
      <x:c r="H787" s="9"/>
      <x:c r="I787" s="8"/>
      <x:c r="J787" s="8"/>
      <x:c r="K787" s="2" t="str">
        <x:f>IF(OR(E787="",F787="",G787="",H787="",I787="",J787=""),"",IF(E787="Harness blocked","BLOCKED",IF(AND(E787="Present",F787="Supplied"),1,IF(OR(E787="Missing",E787="Not reached"),0,"CHECK"))))</x:f>
      </x:c>
      <x:c r="L787" s="2" t="str">
        <x:f>IF(ISNUMBER(K787),IF(AND(K787=1,I787="No"),1,0),K787)</x:f>
      </x:c>
      <x:c r="M787" s="2" t="n">
        <x:f>IF(ISNUMBER(K787),1,0)</x:f>
        <x:v>0</x:v>
      </x:c>
    </x:row>
    <x:row r="788" ht="24" customHeight="1">
      <x:c r="A788" s="2" t="str">
        <x:v>S02.07</x:v>
      </x:c>
      <x:c r="B788" s="2" t="str">
        <x:v>S02</x:v>
      </x:c>
      <x:c r="C788" s="2" t="str">
        <x:v>qwen_clean</x:v>
      </x:c>
      <x:c r="D788" s="2" t="n">
        <x:v>3</x:v>
      </x:c>
      <x:c r="E788" s="8"/>
      <x:c r="F788" s="8"/>
      <x:c r="G788" s="9"/>
      <x:c r="H788" s="9"/>
      <x:c r="I788" s="8"/>
      <x:c r="J788" s="8"/>
      <x:c r="K788" s="2" t="str">
        <x:f>IF(OR(E788="",F788="",G788="",H788="",I788="",J788=""),"",IF(E788="Harness blocked","BLOCKED",IF(AND(E788="Present",F788="Supplied"),1,IF(OR(E788="Missing",E788="Not reached"),0,"CHECK"))))</x:f>
      </x:c>
      <x:c r="L788" s="2" t="str">
        <x:f>IF(ISNUMBER(K788),IF(AND(K788=1,I788="No"),1,0),K788)</x:f>
      </x:c>
      <x:c r="M788" s="2" t="n">
        <x:f>IF(ISNUMBER(K788),1,0)</x:f>
        <x:v>0</x:v>
      </x:c>
    </x:row>
    <x:row r="789" ht="24" customHeight="1">
      <x:c r="A789" s="2" t="str">
        <x:v>S02.08</x:v>
      </x:c>
      <x:c r="B789" s="2" t="str">
        <x:v>S02</x:v>
      </x:c>
      <x:c r="C789" s="2" t="str">
        <x:v>qwen_clean</x:v>
      </x:c>
      <x:c r="D789" s="2" t="n">
        <x:v>3</x:v>
      </x:c>
      <x:c r="E789" s="8"/>
      <x:c r="F789" s="8"/>
      <x:c r="G789" s="9"/>
      <x:c r="H789" s="9"/>
      <x:c r="I789" s="8"/>
      <x:c r="J789" s="8"/>
      <x:c r="K789" s="2" t="str">
        <x:f>IF(OR(E789="",F789="",G789="",H789="",I789="",J789=""),"",IF(E789="Harness blocked","BLOCKED",IF(AND(E789="Present",F789="Supplied"),1,IF(OR(E789="Missing",E789="Not reached"),0,"CHECK"))))</x:f>
      </x:c>
      <x:c r="L789" s="2" t="str">
        <x:f>IF(ISNUMBER(K789),IF(AND(K789=1,I789="No"),1,0),K789)</x:f>
      </x:c>
      <x:c r="M789" s="2" t="n">
        <x:f>IF(ISNUMBER(K789),1,0)</x:f>
        <x:v>0</x:v>
      </x:c>
    </x:row>
    <x:row r="790" ht="24" customHeight="1">
      <x:c r="A790" s="2" t="str">
        <x:v>S03.01</x:v>
      </x:c>
      <x:c r="B790" s="2" t="str">
        <x:v>S03</x:v>
      </x:c>
      <x:c r="C790" s="2" t="str">
        <x:v>qwen_clean</x:v>
      </x:c>
      <x:c r="D790" s="2" t="n">
        <x:v>3</x:v>
      </x:c>
      <x:c r="E790" s="8"/>
      <x:c r="F790" s="8"/>
      <x:c r="G790" s="9"/>
      <x:c r="H790" s="9"/>
      <x:c r="I790" s="8"/>
      <x:c r="J790" s="8"/>
      <x:c r="K790" s="2" t="str">
        <x:f>IF(OR(E790="",F790="",G790="",H790="",I790="",J790=""),"",IF(E790="Harness blocked","BLOCKED",IF(AND(E790="Present",F790="Supplied"),1,IF(OR(E790="Missing",E790="Not reached"),0,"CHECK"))))</x:f>
      </x:c>
      <x:c r="L790" s="2" t="str">
        <x:f>IF(ISNUMBER(K790),IF(AND(K790=1,I790="No"),1,0),K790)</x:f>
      </x:c>
      <x:c r="M790" s="2" t="n">
        <x:f>IF(ISNUMBER(K790),1,0)</x:f>
        <x:v>0</x:v>
      </x:c>
    </x:row>
    <x:row r="791" ht="24" customHeight="1">
      <x:c r="A791" s="2" t="str">
        <x:v>S03.02</x:v>
      </x:c>
      <x:c r="B791" s="2" t="str">
        <x:v>S03</x:v>
      </x:c>
      <x:c r="C791" s="2" t="str">
        <x:v>qwen_clean</x:v>
      </x:c>
      <x:c r="D791" s="2" t="n">
        <x:v>3</x:v>
      </x:c>
      <x:c r="E791" s="8"/>
      <x:c r="F791" s="8"/>
      <x:c r="G791" s="9"/>
      <x:c r="H791" s="9"/>
      <x:c r="I791" s="8"/>
      <x:c r="J791" s="8"/>
      <x:c r="K791" s="2" t="str">
        <x:f>IF(OR(E791="",F791="",G791="",H791="",I791="",J791=""),"",IF(E791="Harness blocked","BLOCKED",IF(AND(E791="Present",F791="Supplied"),1,IF(OR(E791="Missing",E791="Not reached"),0,"CHECK"))))</x:f>
      </x:c>
      <x:c r="L791" s="2" t="str">
        <x:f>IF(ISNUMBER(K791),IF(AND(K791=1,I791="No"),1,0),K791)</x:f>
      </x:c>
      <x:c r="M791" s="2" t="n">
        <x:f>IF(ISNUMBER(K791),1,0)</x:f>
        <x:v>0</x:v>
      </x:c>
    </x:row>
    <x:row r="792" ht="24" customHeight="1">
      <x:c r="A792" s="2" t="str">
        <x:v>S03.03</x:v>
      </x:c>
      <x:c r="B792" s="2" t="str">
        <x:v>S03</x:v>
      </x:c>
      <x:c r="C792" s="2" t="str">
        <x:v>qwen_clean</x:v>
      </x:c>
      <x:c r="D792" s="2" t="n">
        <x:v>3</x:v>
      </x:c>
      <x:c r="E792" s="8"/>
      <x:c r="F792" s="8"/>
      <x:c r="G792" s="9"/>
      <x:c r="H792" s="9"/>
      <x:c r="I792" s="8"/>
      <x:c r="J792" s="8"/>
      <x:c r="K792" s="2" t="str">
        <x:f>IF(OR(E792="",F792="",G792="",H792="",I792="",J792=""),"",IF(E792="Harness blocked","BLOCKED",IF(AND(E792="Present",F792="Supplied"),1,IF(OR(E792="Missing",E792="Not reached"),0,"CHECK"))))</x:f>
      </x:c>
      <x:c r="L792" s="2" t="str">
        <x:f>IF(ISNUMBER(K792),IF(AND(K792=1,I792="No"),1,0),K792)</x:f>
      </x:c>
      <x:c r="M792" s="2" t="n">
        <x:f>IF(ISNUMBER(K792),1,0)</x:f>
        <x:v>0</x:v>
      </x:c>
    </x:row>
    <x:row r="793" ht="24" customHeight="1">
      <x:c r="A793" s="2" t="str">
        <x:v>S03.04</x:v>
      </x:c>
      <x:c r="B793" s="2" t="str">
        <x:v>S03</x:v>
      </x:c>
      <x:c r="C793" s="2" t="str">
        <x:v>qwen_clean</x:v>
      </x:c>
      <x:c r="D793" s="2" t="n">
        <x:v>3</x:v>
      </x:c>
      <x:c r="E793" s="8"/>
      <x:c r="F793" s="8"/>
      <x:c r="G793" s="9"/>
      <x:c r="H793" s="9"/>
      <x:c r="I793" s="8"/>
      <x:c r="J793" s="8"/>
      <x:c r="K793" s="2" t="str">
        <x:f>IF(OR(E793="",F793="",G793="",H793="",I793="",J793=""),"",IF(E793="Harness blocked","BLOCKED",IF(AND(E793="Present",F793="Supplied"),1,IF(OR(E793="Missing",E793="Not reached"),0,"CHECK"))))</x:f>
      </x:c>
      <x:c r="L793" s="2" t="str">
        <x:f>IF(ISNUMBER(K793),IF(AND(K793=1,I793="No"),1,0),K793)</x:f>
      </x:c>
      <x:c r="M793" s="2" t="n">
        <x:f>IF(ISNUMBER(K793),1,0)</x:f>
        <x:v>0</x:v>
      </x:c>
    </x:row>
    <x:row r="794" ht="24" customHeight="1">
      <x:c r="A794" s="2" t="str">
        <x:v>S03.05</x:v>
      </x:c>
      <x:c r="B794" s="2" t="str">
        <x:v>S03</x:v>
      </x:c>
      <x:c r="C794" s="2" t="str">
        <x:v>qwen_clean</x:v>
      </x:c>
      <x:c r="D794" s="2" t="n">
        <x:v>3</x:v>
      </x:c>
      <x:c r="E794" s="8"/>
      <x:c r="F794" s="8"/>
      <x:c r="G794" s="9"/>
      <x:c r="H794" s="9"/>
      <x:c r="I794" s="8"/>
      <x:c r="J794" s="8"/>
      <x:c r="K794" s="2" t="str">
        <x:f>IF(OR(E794="",F794="",G794="",H794="",I794="",J794=""),"",IF(E794="Harness blocked","BLOCKED",IF(AND(E794="Present",F794="Supplied"),1,IF(OR(E794="Missing",E794="Not reached"),0,"CHECK"))))</x:f>
      </x:c>
      <x:c r="L794" s="2" t="str">
        <x:f>IF(ISNUMBER(K794),IF(AND(K794=1,I794="No"),1,0),K794)</x:f>
      </x:c>
      <x:c r="M794" s="2" t="n">
        <x:f>IF(ISNUMBER(K794),1,0)</x:f>
        <x:v>0</x:v>
      </x:c>
    </x:row>
    <x:row r="795" ht="24" customHeight="1">
      <x:c r="A795" s="2" t="str">
        <x:v>S03.06</x:v>
      </x:c>
      <x:c r="B795" s="2" t="str">
        <x:v>S03</x:v>
      </x:c>
      <x:c r="C795" s="2" t="str">
        <x:v>qwen_clean</x:v>
      </x:c>
      <x:c r="D795" s="2" t="n">
        <x:v>3</x:v>
      </x:c>
      <x:c r="E795" s="8"/>
      <x:c r="F795" s="8"/>
      <x:c r="G795" s="9"/>
      <x:c r="H795" s="9"/>
      <x:c r="I795" s="8"/>
      <x:c r="J795" s="8"/>
      <x:c r="K795" s="2" t="str">
        <x:f>IF(OR(E795="",F795="",G795="",H795="",I795="",J795=""),"",IF(E795="Harness blocked","BLOCKED",IF(AND(E795="Present",F795="Supplied"),1,IF(OR(E795="Missing",E795="Not reached"),0,"CHECK"))))</x:f>
      </x:c>
      <x:c r="L795" s="2" t="str">
        <x:f>IF(ISNUMBER(K795),IF(AND(K795=1,I795="No"),1,0),K795)</x:f>
      </x:c>
      <x:c r="M795" s="2" t="n">
        <x:f>IF(ISNUMBER(K795),1,0)</x:f>
        <x:v>0</x:v>
      </x:c>
    </x:row>
    <x:row r="796" ht="24" customHeight="1">
      <x:c r="A796" s="2" t="str">
        <x:v>S03.07</x:v>
      </x:c>
      <x:c r="B796" s="2" t="str">
        <x:v>S03</x:v>
      </x:c>
      <x:c r="C796" s="2" t="str">
        <x:v>qwen_clean</x:v>
      </x:c>
      <x:c r="D796" s="2" t="n">
        <x:v>3</x:v>
      </x:c>
      <x:c r="E796" s="8"/>
      <x:c r="F796" s="8"/>
      <x:c r="G796" s="9"/>
      <x:c r="H796" s="9"/>
      <x:c r="I796" s="8"/>
      <x:c r="J796" s="8"/>
      <x:c r="K796" s="2" t="str">
        <x:f>IF(OR(E796="",F796="",G796="",H796="",I796="",J796=""),"",IF(E796="Harness blocked","BLOCKED",IF(AND(E796="Present",F796="Supplied"),1,IF(OR(E796="Missing",E796="Not reached"),0,"CHECK"))))</x:f>
      </x:c>
      <x:c r="L796" s="2" t="str">
        <x:f>IF(ISNUMBER(K796),IF(AND(K796=1,I796="No"),1,0),K796)</x:f>
      </x:c>
      <x:c r="M796" s="2" t="n">
        <x:f>IF(ISNUMBER(K796),1,0)</x:f>
        <x:v>0</x:v>
      </x:c>
    </x:row>
    <x:row r="797" ht="24" customHeight="1">
      <x:c r="A797" s="2" t="str">
        <x:v>S03.08</x:v>
      </x:c>
      <x:c r="B797" s="2" t="str">
        <x:v>S03</x:v>
      </x:c>
      <x:c r="C797" s="2" t="str">
        <x:v>qwen_clean</x:v>
      </x:c>
      <x:c r="D797" s="2" t="n">
        <x:v>3</x:v>
      </x:c>
      <x:c r="E797" s="8"/>
      <x:c r="F797" s="8"/>
      <x:c r="G797" s="9"/>
      <x:c r="H797" s="9"/>
      <x:c r="I797" s="8"/>
      <x:c r="J797" s="8"/>
      <x:c r="K797" s="2" t="str">
        <x:f>IF(OR(E797="",F797="",G797="",H797="",I797="",J797=""),"",IF(E797="Harness blocked","BLOCKED",IF(AND(E797="Present",F797="Supplied"),1,IF(OR(E797="Missing",E797="Not reached"),0,"CHECK"))))</x:f>
      </x:c>
      <x:c r="L797" s="2" t="str">
        <x:f>IF(ISNUMBER(K797),IF(AND(K797=1,I797="No"),1,0),K797)</x:f>
      </x:c>
      <x:c r="M797" s="2" t="n">
        <x:f>IF(ISNUMBER(K797),1,0)</x:f>
        <x:v>0</x:v>
      </x:c>
    </x:row>
    <x:row r="798" ht="24" customHeight="1">
      <x:c r="A798" s="2" t="str">
        <x:v>S04.01</x:v>
      </x:c>
      <x:c r="B798" s="2" t="str">
        <x:v>S04</x:v>
      </x:c>
      <x:c r="C798" s="2" t="str">
        <x:v>qwen_clean</x:v>
      </x:c>
      <x:c r="D798" s="2" t="n">
        <x:v>3</x:v>
      </x:c>
      <x:c r="E798" s="8"/>
      <x:c r="F798" s="8"/>
      <x:c r="G798" s="9"/>
      <x:c r="H798" s="9"/>
      <x:c r="I798" s="8"/>
      <x:c r="J798" s="8"/>
      <x:c r="K798" s="2" t="str">
        <x:f>IF(OR(E798="",F798="",G798="",H798="",I798="",J798=""),"",IF(E798="Harness blocked","BLOCKED",IF(AND(E798="Present",F798="Supplied"),1,IF(OR(E798="Missing",E798="Not reached"),0,"CHECK"))))</x:f>
      </x:c>
      <x:c r="L798" s="2" t="str">
        <x:f>IF(ISNUMBER(K798),IF(AND(K798=1,I798="No"),1,0),K798)</x:f>
      </x:c>
      <x:c r="M798" s="2" t="n">
        <x:f>IF(ISNUMBER(K798),1,0)</x:f>
        <x:v>0</x:v>
      </x:c>
    </x:row>
    <x:row r="799" ht="24" customHeight="1">
      <x:c r="A799" s="2" t="str">
        <x:v>S04.02</x:v>
      </x:c>
      <x:c r="B799" s="2" t="str">
        <x:v>S04</x:v>
      </x:c>
      <x:c r="C799" s="2" t="str">
        <x:v>qwen_clean</x:v>
      </x:c>
      <x:c r="D799" s="2" t="n">
        <x:v>3</x:v>
      </x:c>
      <x:c r="E799" s="8"/>
      <x:c r="F799" s="8"/>
      <x:c r="G799" s="9"/>
      <x:c r="H799" s="9"/>
      <x:c r="I799" s="8"/>
      <x:c r="J799" s="8"/>
      <x:c r="K799" s="2" t="str">
        <x:f>IF(OR(E799="",F799="",G799="",H799="",I799="",J799=""),"",IF(E799="Harness blocked","BLOCKED",IF(AND(E799="Present",F799="Supplied"),1,IF(OR(E799="Missing",E799="Not reached"),0,"CHECK"))))</x:f>
      </x:c>
      <x:c r="L799" s="2" t="str">
        <x:f>IF(ISNUMBER(K799),IF(AND(K799=1,I799="No"),1,0),K799)</x:f>
      </x:c>
      <x:c r="M799" s="2" t="n">
        <x:f>IF(ISNUMBER(K799),1,0)</x:f>
        <x:v>0</x:v>
      </x:c>
    </x:row>
    <x:row r="800" ht="24" customHeight="1">
      <x:c r="A800" s="2" t="str">
        <x:v>S04.03</x:v>
      </x:c>
      <x:c r="B800" s="2" t="str">
        <x:v>S04</x:v>
      </x:c>
      <x:c r="C800" s="2" t="str">
        <x:v>qwen_clean</x:v>
      </x:c>
      <x:c r="D800" s="2" t="n">
        <x:v>3</x:v>
      </x:c>
      <x:c r="E800" s="8"/>
      <x:c r="F800" s="8"/>
      <x:c r="G800" s="9"/>
      <x:c r="H800" s="9"/>
      <x:c r="I800" s="8"/>
      <x:c r="J800" s="8"/>
      <x:c r="K800" s="2" t="str">
        <x:f>IF(OR(E800="",F800="",G800="",H800="",I800="",J800=""),"",IF(E800="Harness blocked","BLOCKED",IF(AND(E800="Present",F800="Supplied"),1,IF(OR(E800="Missing",E800="Not reached"),0,"CHECK"))))</x:f>
      </x:c>
      <x:c r="L800" s="2" t="str">
        <x:f>IF(ISNUMBER(K800),IF(AND(K800=1,I800="No"),1,0),K800)</x:f>
      </x:c>
      <x:c r="M800" s="2" t="n">
        <x:f>IF(ISNUMBER(K800),1,0)</x:f>
        <x:v>0</x:v>
      </x:c>
    </x:row>
    <x:row r="801" ht="24" customHeight="1">
      <x:c r="A801" s="2" t="str">
        <x:v>S04.04</x:v>
      </x:c>
      <x:c r="B801" s="2" t="str">
        <x:v>S04</x:v>
      </x:c>
      <x:c r="C801" s="2" t="str">
        <x:v>qwen_clean</x:v>
      </x:c>
      <x:c r="D801" s="2" t="n">
        <x:v>3</x:v>
      </x:c>
      <x:c r="E801" s="8"/>
      <x:c r="F801" s="8"/>
      <x:c r="G801" s="9"/>
      <x:c r="H801" s="9"/>
      <x:c r="I801" s="8"/>
      <x:c r="J801" s="8"/>
      <x:c r="K801" s="2" t="str">
        <x:f>IF(OR(E801="",F801="",G801="",H801="",I801="",J801=""),"",IF(E801="Harness blocked","BLOCKED",IF(AND(E801="Present",F801="Supplied"),1,IF(OR(E801="Missing",E801="Not reached"),0,"CHECK"))))</x:f>
      </x:c>
      <x:c r="L801" s="2" t="str">
        <x:f>IF(ISNUMBER(K801),IF(AND(K801=1,I801="No"),1,0),K801)</x:f>
      </x:c>
      <x:c r="M801" s="2" t="n">
        <x:f>IF(ISNUMBER(K801),1,0)</x:f>
        <x:v>0</x:v>
      </x:c>
    </x:row>
    <x:row r="802" ht="24" customHeight="1">
      <x:c r="A802" s="2" t="str">
        <x:v>S04.05</x:v>
      </x:c>
      <x:c r="B802" s="2" t="str">
        <x:v>S04</x:v>
      </x:c>
      <x:c r="C802" s="2" t="str">
        <x:v>qwen_clean</x:v>
      </x:c>
      <x:c r="D802" s="2" t="n">
        <x:v>3</x:v>
      </x:c>
      <x:c r="E802" s="8"/>
      <x:c r="F802" s="8"/>
      <x:c r="G802" s="9"/>
      <x:c r="H802" s="9"/>
      <x:c r="I802" s="8"/>
      <x:c r="J802" s="8"/>
      <x:c r="K802" s="2" t="str">
        <x:f>IF(OR(E802="",F802="",G802="",H802="",I802="",J802=""),"",IF(E802="Harness blocked","BLOCKED",IF(AND(E802="Present",F802="Supplied"),1,IF(OR(E802="Missing",E802="Not reached"),0,"CHECK"))))</x:f>
      </x:c>
      <x:c r="L802" s="2" t="str">
        <x:f>IF(ISNUMBER(K802),IF(AND(K802=1,I802="No"),1,0),K802)</x:f>
      </x:c>
      <x:c r="M802" s="2" t="n">
        <x:f>IF(ISNUMBER(K802),1,0)</x:f>
        <x:v>0</x:v>
      </x:c>
    </x:row>
    <x:row r="803" ht="24" customHeight="1">
      <x:c r="A803" s="2" t="str">
        <x:v>S04.06</x:v>
      </x:c>
      <x:c r="B803" s="2" t="str">
        <x:v>S04</x:v>
      </x:c>
      <x:c r="C803" s="2" t="str">
        <x:v>qwen_clean</x:v>
      </x:c>
      <x:c r="D803" s="2" t="n">
        <x:v>3</x:v>
      </x:c>
      <x:c r="E803" s="8"/>
      <x:c r="F803" s="8"/>
      <x:c r="G803" s="9"/>
      <x:c r="H803" s="9"/>
      <x:c r="I803" s="8"/>
      <x:c r="J803" s="8"/>
      <x:c r="K803" s="2" t="str">
        <x:f>IF(OR(E803="",F803="",G803="",H803="",I803="",J803=""),"",IF(E803="Harness blocked","BLOCKED",IF(AND(E803="Present",F803="Supplied"),1,IF(OR(E803="Missing",E803="Not reached"),0,"CHECK"))))</x:f>
      </x:c>
      <x:c r="L803" s="2" t="str">
        <x:f>IF(ISNUMBER(K803),IF(AND(K803=1,I803="No"),1,0),K803)</x:f>
      </x:c>
      <x:c r="M803" s="2" t="n">
        <x:f>IF(ISNUMBER(K803),1,0)</x:f>
        <x:v>0</x:v>
      </x:c>
    </x:row>
    <x:row r="804" ht="24" customHeight="1">
      <x:c r="A804" s="2" t="str">
        <x:v>S04.07</x:v>
      </x:c>
      <x:c r="B804" s="2" t="str">
        <x:v>S04</x:v>
      </x:c>
      <x:c r="C804" s="2" t="str">
        <x:v>qwen_clean</x:v>
      </x:c>
      <x:c r="D804" s="2" t="n">
        <x:v>3</x:v>
      </x:c>
      <x:c r="E804" s="8"/>
      <x:c r="F804" s="8"/>
      <x:c r="G804" s="9"/>
      <x:c r="H804" s="9"/>
      <x:c r="I804" s="8"/>
      <x:c r="J804" s="8"/>
      <x:c r="K804" s="2" t="str">
        <x:f>IF(OR(E804="",F804="",G804="",H804="",I804="",J804=""),"",IF(E804="Harness blocked","BLOCKED",IF(AND(E804="Present",F804="Supplied"),1,IF(OR(E804="Missing",E804="Not reached"),0,"CHECK"))))</x:f>
      </x:c>
      <x:c r="L804" s="2" t="str">
        <x:f>IF(ISNUMBER(K804),IF(AND(K804=1,I804="No"),1,0),K804)</x:f>
      </x:c>
      <x:c r="M804" s="2" t="n">
        <x:f>IF(ISNUMBER(K804),1,0)</x:f>
        <x:v>0</x:v>
      </x:c>
    </x:row>
    <x:row r="805" ht="24" customHeight="1">
      <x:c r="A805" s="2" t="str">
        <x:v>S04.08</x:v>
      </x:c>
      <x:c r="B805" s="2" t="str">
        <x:v>S04</x:v>
      </x:c>
      <x:c r="C805" s="2" t="str">
        <x:v>qwen_clean</x:v>
      </x:c>
      <x:c r="D805" s="2" t="n">
        <x:v>3</x:v>
      </x:c>
      <x:c r="E805" s="8"/>
      <x:c r="F805" s="8"/>
      <x:c r="G805" s="9"/>
      <x:c r="H805" s="9"/>
      <x:c r="I805" s="8"/>
      <x:c r="J805" s="8"/>
      <x:c r="K805" s="2" t="str">
        <x:f>IF(OR(E805="",F805="",G805="",H805="",I805="",J805=""),"",IF(E805="Harness blocked","BLOCKED",IF(AND(E805="Present",F805="Supplied"),1,IF(OR(E805="Missing",E805="Not reached"),0,"CHECK"))))</x:f>
      </x:c>
      <x:c r="L805" s="2" t="str">
        <x:f>IF(ISNUMBER(K805),IF(AND(K805=1,I805="No"),1,0),K805)</x:f>
      </x:c>
      <x:c r="M805" s="2" t="n">
        <x:f>IF(ISNUMBER(K805),1,0)</x:f>
        <x:v>0</x:v>
      </x:c>
    </x:row>
    <x:row r="806" ht="24" customHeight="1">
      <x:c r="A806" s="2" t="str">
        <x:v>S05.01</x:v>
      </x:c>
      <x:c r="B806" s="2" t="str">
        <x:v>S05</x:v>
      </x:c>
      <x:c r="C806" s="2" t="str">
        <x:v>qwen_clean</x:v>
      </x:c>
      <x:c r="D806" s="2" t="n">
        <x:v>3</x:v>
      </x:c>
      <x:c r="E806" s="8"/>
      <x:c r="F806" s="8"/>
      <x:c r="G806" s="9"/>
      <x:c r="H806" s="9"/>
      <x:c r="I806" s="8"/>
      <x:c r="J806" s="8"/>
      <x:c r="K806" s="2" t="str">
        <x:f>IF(OR(E806="",F806="",G806="",H806="",I806="",J806=""),"",IF(E806="Harness blocked","BLOCKED",IF(AND(E806="Present",F806="Supplied"),1,IF(OR(E806="Missing",E806="Not reached"),0,"CHECK"))))</x:f>
      </x:c>
      <x:c r="L806" s="2" t="str">
        <x:f>IF(ISNUMBER(K806),IF(AND(K806=1,I806="No"),1,0),K806)</x:f>
      </x:c>
      <x:c r="M806" s="2" t="n">
        <x:f>IF(ISNUMBER(K806),1,0)</x:f>
        <x:v>0</x:v>
      </x:c>
    </x:row>
    <x:row r="807" ht="24" customHeight="1">
      <x:c r="A807" s="2" t="str">
        <x:v>S05.02</x:v>
      </x:c>
      <x:c r="B807" s="2" t="str">
        <x:v>S05</x:v>
      </x:c>
      <x:c r="C807" s="2" t="str">
        <x:v>qwen_clean</x:v>
      </x:c>
      <x:c r="D807" s="2" t="n">
        <x:v>3</x:v>
      </x:c>
      <x:c r="E807" s="8"/>
      <x:c r="F807" s="8"/>
      <x:c r="G807" s="9"/>
      <x:c r="H807" s="9"/>
      <x:c r="I807" s="8"/>
      <x:c r="J807" s="8"/>
      <x:c r="K807" s="2" t="str">
        <x:f>IF(OR(E807="",F807="",G807="",H807="",I807="",J807=""),"",IF(E807="Harness blocked","BLOCKED",IF(AND(E807="Present",F807="Supplied"),1,IF(OR(E807="Missing",E807="Not reached"),0,"CHECK"))))</x:f>
      </x:c>
      <x:c r="L807" s="2" t="str">
        <x:f>IF(ISNUMBER(K807),IF(AND(K807=1,I807="No"),1,0),K807)</x:f>
      </x:c>
      <x:c r="M807" s="2" t="n">
        <x:f>IF(ISNUMBER(K807),1,0)</x:f>
        <x:v>0</x:v>
      </x:c>
    </x:row>
    <x:row r="808" ht="24" customHeight="1">
      <x:c r="A808" s="2" t="str">
        <x:v>S05.03</x:v>
      </x:c>
      <x:c r="B808" s="2" t="str">
        <x:v>S05</x:v>
      </x:c>
      <x:c r="C808" s="2" t="str">
        <x:v>qwen_clean</x:v>
      </x:c>
      <x:c r="D808" s="2" t="n">
        <x:v>3</x:v>
      </x:c>
      <x:c r="E808" s="8"/>
      <x:c r="F808" s="8"/>
      <x:c r="G808" s="9"/>
      <x:c r="H808" s="9"/>
      <x:c r="I808" s="8"/>
      <x:c r="J808" s="8"/>
      <x:c r="K808" s="2" t="str">
        <x:f>IF(OR(E808="",F808="",G808="",H808="",I808="",J808=""),"",IF(E808="Harness blocked","BLOCKED",IF(AND(E808="Present",F808="Supplied"),1,IF(OR(E808="Missing",E808="Not reached"),0,"CHECK"))))</x:f>
      </x:c>
      <x:c r="L808" s="2" t="str">
        <x:f>IF(ISNUMBER(K808),IF(AND(K808=1,I808="No"),1,0),K808)</x:f>
      </x:c>
      <x:c r="M808" s="2" t="n">
        <x:f>IF(ISNUMBER(K808),1,0)</x:f>
        <x:v>0</x:v>
      </x:c>
    </x:row>
    <x:row r="809" ht="24" customHeight="1">
      <x:c r="A809" s="2" t="str">
        <x:v>S05.04</x:v>
      </x:c>
      <x:c r="B809" s="2" t="str">
        <x:v>S05</x:v>
      </x:c>
      <x:c r="C809" s="2" t="str">
        <x:v>qwen_clean</x:v>
      </x:c>
      <x:c r="D809" s="2" t="n">
        <x:v>3</x:v>
      </x:c>
      <x:c r="E809" s="8"/>
      <x:c r="F809" s="8"/>
      <x:c r="G809" s="9"/>
      <x:c r="H809" s="9"/>
      <x:c r="I809" s="8"/>
      <x:c r="J809" s="8"/>
      <x:c r="K809" s="2" t="str">
        <x:f>IF(OR(E809="",F809="",G809="",H809="",I809="",J809=""),"",IF(E809="Harness blocked","BLOCKED",IF(AND(E809="Present",F809="Supplied"),1,IF(OR(E809="Missing",E809="Not reached"),0,"CHECK"))))</x:f>
      </x:c>
      <x:c r="L809" s="2" t="str">
        <x:f>IF(ISNUMBER(K809),IF(AND(K809=1,I809="No"),1,0),K809)</x:f>
      </x:c>
      <x:c r="M809" s="2" t="n">
        <x:f>IF(ISNUMBER(K809),1,0)</x:f>
        <x:v>0</x:v>
      </x:c>
    </x:row>
    <x:row r="810" ht="24" customHeight="1">
      <x:c r="A810" s="2" t="str">
        <x:v>S05.05</x:v>
      </x:c>
      <x:c r="B810" s="2" t="str">
        <x:v>S05</x:v>
      </x:c>
      <x:c r="C810" s="2" t="str">
        <x:v>qwen_clean</x:v>
      </x:c>
      <x:c r="D810" s="2" t="n">
        <x:v>3</x:v>
      </x:c>
      <x:c r="E810" s="8"/>
      <x:c r="F810" s="8"/>
      <x:c r="G810" s="9"/>
      <x:c r="H810" s="9"/>
      <x:c r="I810" s="8"/>
      <x:c r="J810" s="8"/>
      <x:c r="K810" s="2" t="str">
        <x:f>IF(OR(E810="",F810="",G810="",H810="",I810="",J810=""),"",IF(E810="Harness blocked","BLOCKED",IF(AND(E810="Present",F810="Supplied"),1,IF(OR(E810="Missing",E810="Not reached"),0,"CHECK"))))</x:f>
      </x:c>
      <x:c r="L810" s="2" t="str">
        <x:f>IF(ISNUMBER(K810),IF(AND(K810=1,I810="No"),1,0),K810)</x:f>
      </x:c>
      <x:c r="M810" s="2" t="n">
        <x:f>IF(ISNUMBER(K810),1,0)</x:f>
        <x:v>0</x:v>
      </x:c>
    </x:row>
    <x:row r="811" ht="24" customHeight="1">
      <x:c r="A811" s="2" t="str">
        <x:v>S05.06</x:v>
      </x:c>
      <x:c r="B811" s="2" t="str">
        <x:v>S05</x:v>
      </x:c>
      <x:c r="C811" s="2" t="str">
        <x:v>qwen_clean</x:v>
      </x:c>
      <x:c r="D811" s="2" t="n">
        <x:v>3</x:v>
      </x:c>
      <x:c r="E811" s="8"/>
      <x:c r="F811" s="8"/>
      <x:c r="G811" s="9"/>
      <x:c r="H811" s="9"/>
      <x:c r="I811" s="8"/>
      <x:c r="J811" s="8"/>
      <x:c r="K811" s="2" t="str">
        <x:f>IF(OR(E811="",F811="",G811="",H811="",I811="",J811=""),"",IF(E811="Harness blocked","BLOCKED",IF(AND(E811="Present",F811="Supplied"),1,IF(OR(E811="Missing",E811="Not reached"),0,"CHECK"))))</x:f>
      </x:c>
      <x:c r="L811" s="2" t="str">
        <x:f>IF(ISNUMBER(K811),IF(AND(K811=1,I811="No"),1,0),K811)</x:f>
      </x:c>
      <x:c r="M811" s="2" t="n">
        <x:f>IF(ISNUMBER(K811),1,0)</x:f>
        <x:v>0</x:v>
      </x:c>
    </x:row>
    <x:row r="812" ht="24" customHeight="1">
      <x:c r="A812" s="2" t="str">
        <x:v>S05.07</x:v>
      </x:c>
      <x:c r="B812" s="2" t="str">
        <x:v>S05</x:v>
      </x:c>
      <x:c r="C812" s="2" t="str">
        <x:v>qwen_clean</x:v>
      </x:c>
      <x:c r="D812" s="2" t="n">
        <x:v>3</x:v>
      </x:c>
      <x:c r="E812" s="8"/>
      <x:c r="F812" s="8"/>
      <x:c r="G812" s="9"/>
      <x:c r="H812" s="9"/>
      <x:c r="I812" s="8"/>
      <x:c r="J812" s="8"/>
      <x:c r="K812" s="2" t="str">
        <x:f>IF(OR(E812="",F812="",G812="",H812="",I812="",J812=""),"",IF(E812="Harness blocked","BLOCKED",IF(AND(E812="Present",F812="Supplied"),1,IF(OR(E812="Missing",E812="Not reached"),0,"CHECK"))))</x:f>
      </x:c>
      <x:c r="L812" s="2" t="str">
        <x:f>IF(ISNUMBER(K812),IF(AND(K812=1,I812="No"),1,0),K812)</x:f>
      </x:c>
      <x:c r="M812" s="2" t="n">
        <x:f>IF(ISNUMBER(K812),1,0)</x:f>
        <x:v>0</x:v>
      </x:c>
    </x:row>
    <x:row r="813" ht="24" customHeight="1">
      <x:c r="A813" s="2" t="str">
        <x:v>S05.08</x:v>
      </x:c>
      <x:c r="B813" s="2" t="str">
        <x:v>S05</x:v>
      </x:c>
      <x:c r="C813" s="2" t="str">
        <x:v>qwen_clean</x:v>
      </x:c>
      <x:c r="D813" s="2" t="n">
        <x:v>3</x:v>
      </x:c>
      <x:c r="E813" s="8"/>
      <x:c r="F813" s="8"/>
      <x:c r="G813" s="9"/>
      <x:c r="H813" s="9"/>
      <x:c r="I813" s="8"/>
      <x:c r="J813" s="8"/>
      <x:c r="K813" s="2" t="str">
        <x:f>IF(OR(E813="",F813="",G813="",H813="",I813="",J813=""),"",IF(E813="Harness blocked","BLOCKED",IF(AND(E813="Present",F813="Supplied"),1,IF(OR(E813="Missing",E813="Not reached"),0,"CHECK"))))</x:f>
      </x:c>
      <x:c r="L813" s="2" t="str">
        <x:f>IF(ISNUMBER(K813),IF(AND(K813=1,I813="No"),1,0),K813)</x:f>
      </x:c>
      <x:c r="M813" s="2" t="n">
        <x:f>IF(ISNUMBER(K813),1,0)</x:f>
        <x:v>0</x:v>
      </x:c>
    </x:row>
    <x:row r="814" ht="24" customHeight="1">
      <x:c r="A814" s="2" t="str">
        <x:v>S06.01</x:v>
      </x:c>
      <x:c r="B814" s="2" t="str">
        <x:v>S06</x:v>
      </x:c>
      <x:c r="C814" s="2" t="str">
        <x:v>qwen_clean</x:v>
      </x:c>
      <x:c r="D814" s="2" t="n">
        <x:v>3</x:v>
      </x:c>
      <x:c r="E814" s="8"/>
      <x:c r="F814" s="8"/>
      <x:c r="G814" s="9"/>
      <x:c r="H814" s="9"/>
      <x:c r="I814" s="8"/>
      <x:c r="J814" s="8"/>
      <x:c r="K814" s="2" t="str">
        <x:f>IF(OR(E814="",F814="",G814="",H814="",I814="",J814=""),"",IF(E814="Harness blocked","BLOCKED",IF(AND(E814="Present",F814="Supplied"),1,IF(OR(E814="Missing",E814="Not reached"),0,"CHECK"))))</x:f>
      </x:c>
      <x:c r="L814" s="2" t="str">
        <x:f>IF(ISNUMBER(K814),IF(AND(K814=1,I814="No"),1,0),K814)</x:f>
      </x:c>
      <x:c r="M814" s="2" t="n">
        <x:f>IF(ISNUMBER(K814),1,0)</x:f>
        <x:v>0</x:v>
      </x:c>
    </x:row>
    <x:row r="815" ht="24" customHeight="1">
      <x:c r="A815" s="2" t="str">
        <x:v>S06.02</x:v>
      </x:c>
      <x:c r="B815" s="2" t="str">
        <x:v>S06</x:v>
      </x:c>
      <x:c r="C815" s="2" t="str">
        <x:v>qwen_clean</x:v>
      </x:c>
      <x:c r="D815" s="2" t="n">
        <x:v>3</x:v>
      </x:c>
      <x:c r="E815" s="8"/>
      <x:c r="F815" s="8"/>
      <x:c r="G815" s="9"/>
      <x:c r="H815" s="9"/>
      <x:c r="I815" s="8"/>
      <x:c r="J815" s="8"/>
      <x:c r="K815" s="2" t="str">
        <x:f>IF(OR(E815="",F815="",G815="",H815="",I815="",J815=""),"",IF(E815="Harness blocked","BLOCKED",IF(AND(E815="Present",F815="Supplied"),1,IF(OR(E815="Missing",E815="Not reached"),0,"CHECK"))))</x:f>
      </x:c>
      <x:c r="L815" s="2" t="str">
        <x:f>IF(ISNUMBER(K815),IF(AND(K815=1,I815="No"),1,0),K815)</x:f>
      </x:c>
      <x:c r="M815" s="2" t="n">
        <x:f>IF(ISNUMBER(K815),1,0)</x:f>
        <x:v>0</x:v>
      </x:c>
    </x:row>
    <x:row r="816" ht="24" customHeight="1">
      <x:c r="A816" s="2" t="str">
        <x:v>S06.03</x:v>
      </x:c>
      <x:c r="B816" s="2" t="str">
        <x:v>S06</x:v>
      </x:c>
      <x:c r="C816" s="2" t="str">
        <x:v>qwen_clean</x:v>
      </x:c>
      <x:c r="D816" s="2" t="n">
        <x:v>3</x:v>
      </x:c>
      <x:c r="E816" s="8"/>
      <x:c r="F816" s="8"/>
      <x:c r="G816" s="9"/>
      <x:c r="H816" s="9"/>
      <x:c r="I816" s="8"/>
      <x:c r="J816" s="8"/>
      <x:c r="K816" s="2" t="str">
        <x:f>IF(OR(E816="",F816="",G816="",H816="",I816="",J816=""),"",IF(E816="Harness blocked","BLOCKED",IF(AND(E816="Present",F816="Supplied"),1,IF(OR(E816="Missing",E816="Not reached"),0,"CHECK"))))</x:f>
      </x:c>
      <x:c r="L816" s="2" t="str">
        <x:f>IF(ISNUMBER(K816),IF(AND(K816=1,I816="No"),1,0),K816)</x:f>
      </x:c>
      <x:c r="M816" s="2" t="n">
        <x:f>IF(ISNUMBER(K816),1,0)</x:f>
        <x:v>0</x:v>
      </x:c>
    </x:row>
    <x:row r="817" ht="24" customHeight="1">
      <x:c r="A817" s="2" t="str">
        <x:v>S06.04</x:v>
      </x:c>
      <x:c r="B817" s="2" t="str">
        <x:v>S06</x:v>
      </x:c>
      <x:c r="C817" s="2" t="str">
        <x:v>qwen_clean</x:v>
      </x:c>
      <x:c r="D817" s="2" t="n">
        <x:v>3</x:v>
      </x:c>
      <x:c r="E817" s="8"/>
      <x:c r="F817" s="8"/>
      <x:c r="G817" s="9"/>
      <x:c r="H817" s="9"/>
      <x:c r="I817" s="8"/>
      <x:c r="J817" s="8"/>
      <x:c r="K817" s="2" t="str">
        <x:f>IF(OR(E817="",F817="",G817="",H817="",I817="",J817=""),"",IF(E817="Harness blocked","BLOCKED",IF(AND(E817="Present",F817="Supplied"),1,IF(OR(E817="Missing",E817="Not reached"),0,"CHECK"))))</x:f>
      </x:c>
      <x:c r="L817" s="2" t="str">
        <x:f>IF(ISNUMBER(K817),IF(AND(K817=1,I817="No"),1,0),K817)</x:f>
      </x:c>
      <x:c r="M817" s="2" t="n">
        <x:f>IF(ISNUMBER(K817),1,0)</x:f>
        <x:v>0</x:v>
      </x:c>
    </x:row>
    <x:row r="818" ht="24" customHeight="1">
      <x:c r="A818" s="2" t="str">
        <x:v>S06.05</x:v>
      </x:c>
      <x:c r="B818" s="2" t="str">
        <x:v>S06</x:v>
      </x:c>
      <x:c r="C818" s="2" t="str">
        <x:v>qwen_clean</x:v>
      </x:c>
      <x:c r="D818" s="2" t="n">
        <x:v>3</x:v>
      </x:c>
      <x:c r="E818" s="8"/>
      <x:c r="F818" s="8"/>
      <x:c r="G818" s="9"/>
      <x:c r="H818" s="9"/>
      <x:c r="I818" s="8"/>
      <x:c r="J818" s="8"/>
      <x:c r="K818" s="2" t="str">
        <x:f>IF(OR(E818="",F818="",G818="",H818="",I818="",J818=""),"",IF(E818="Harness blocked","BLOCKED",IF(AND(E818="Present",F818="Supplied"),1,IF(OR(E818="Missing",E818="Not reached"),0,"CHECK"))))</x:f>
      </x:c>
      <x:c r="L818" s="2" t="str">
        <x:f>IF(ISNUMBER(K818),IF(AND(K818=1,I818="No"),1,0),K818)</x:f>
      </x:c>
      <x:c r="M818" s="2" t="n">
        <x:f>IF(ISNUMBER(K818),1,0)</x:f>
        <x:v>0</x:v>
      </x:c>
    </x:row>
    <x:row r="819" ht="24" customHeight="1">
      <x:c r="A819" s="2" t="str">
        <x:v>S06.06</x:v>
      </x:c>
      <x:c r="B819" s="2" t="str">
        <x:v>S06</x:v>
      </x:c>
      <x:c r="C819" s="2" t="str">
        <x:v>qwen_clean</x:v>
      </x:c>
      <x:c r="D819" s="2" t="n">
        <x:v>3</x:v>
      </x:c>
      <x:c r="E819" s="8"/>
      <x:c r="F819" s="8"/>
      <x:c r="G819" s="9"/>
      <x:c r="H819" s="9"/>
      <x:c r="I819" s="8"/>
      <x:c r="J819" s="8"/>
      <x:c r="K819" s="2" t="str">
        <x:f>IF(OR(E819="",F819="",G819="",H819="",I819="",J819=""),"",IF(E819="Harness blocked","BLOCKED",IF(AND(E819="Present",F819="Supplied"),1,IF(OR(E819="Missing",E819="Not reached"),0,"CHECK"))))</x:f>
      </x:c>
      <x:c r="L819" s="2" t="str">
        <x:f>IF(ISNUMBER(K819),IF(AND(K819=1,I819="No"),1,0),K819)</x:f>
      </x:c>
      <x:c r="M819" s="2" t="n">
        <x:f>IF(ISNUMBER(K819),1,0)</x:f>
        <x:v>0</x:v>
      </x:c>
    </x:row>
    <x:row r="820" ht="24" customHeight="1">
      <x:c r="A820" s="2" t="str">
        <x:v>S06.07</x:v>
      </x:c>
      <x:c r="B820" s="2" t="str">
        <x:v>S06</x:v>
      </x:c>
      <x:c r="C820" s="2" t="str">
        <x:v>qwen_clean</x:v>
      </x:c>
      <x:c r="D820" s="2" t="n">
        <x:v>3</x:v>
      </x:c>
      <x:c r="E820" s="8"/>
      <x:c r="F820" s="8"/>
      <x:c r="G820" s="9"/>
      <x:c r="H820" s="9"/>
      <x:c r="I820" s="8"/>
      <x:c r="J820" s="8"/>
      <x:c r="K820" s="2" t="str">
        <x:f>IF(OR(E820="",F820="",G820="",H820="",I820="",J820=""),"",IF(E820="Harness blocked","BLOCKED",IF(AND(E820="Present",F820="Supplied"),1,IF(OR(E820="Missing",E820="Not reached"),0,"CHECK"))))</x:f>
      </x:c>
      <x:c r="L820" s="2" t="str">
        <x:f>IF(ISNUMBER(K820),IF(AND(K820=1,I820="No"),1,0),K820)</x:f>
      </x:c>
      <x:c r="M820" s="2" t="n">
        <x:f>IF(ISNUMBER(K820),1,0)</x:f>
        <x:v>0</x:v>
      </x:c>
    </x:row>
    <x:row r="821" ht="24" customHeight="1">
      <x:c r="A821" s="2" t="str">
        <x:v>S06.08</x:v>
      </x:c>
      <x:c r="B821" s="2" t="str">
        <x:v>S06</x:v>
      </x:c>
      <x:c r="C821" s="2" t="str">
        <x:v>qwen_clean</x:v>
      </x:c>
      <x:c r="D821" s="2" t="n">
        <x:v>3</x:v>
      </x:c>
      <x:c r="E821" s="8"/>
      <x:c r="F821" s="8"/>
      <x:c r="G821" s="9"/>
      <x:c r="H821" s="9"/>
      <x:c r="I821" s="8"/>
      <x:c r="J821" s="8"/>
      <x:c r="K821" s="2" t="str">
        <x:f>IF(OR(E821="",F821="",G821="",H821="",I821="",J821=""),"",IF(E821="Harness blocked","BLOCKED",IF(AND(E821="Present",F821="Supplied"),1,IF(OR(E821="Missing",E821="Not reached"),0,"CHECK"))))</x:f>
      </x:c>
      <x:c r="L821" s="2" t="str">
        <x:f>IF(ISNUMBER(K821),IF(AND(K821=1,I821="No"),1,0),K821)</x:f>
      </x:c>
      <x:c r="M821" s="2" t="n">
        <x:f>IF(ISNUMBER(K821),1,0)</x:f>
        <x:v>0</x:v>
      </x:c>
    </x:row>
    <x:row r="822" ht="24" customHeight="1">
      <x:c r="A822" s="2" t="str">
        <x:v>S07.01</x:v>
      </x:c>
      <x:c r="B822" s="2" t="str">
        <x:v>S07</x:v>
      </x:c>
      <x:c r="C822" s="2" t="str">
        <x:v>qwen_clean</x:v>
      </x:c>
      <x:c r="D822" s="2" t="n">
        <x:v>3</x:v>
      </x:c>
      <x:c r="E822" s="8"/>
      <x:c r="F822" s="8"/>
      <x:c r="G822" s="9"/>
      <x:c r="H822" s="9"/>
      <x:c r="I822" s="8"/>
      <x:c r="J822" s="8"/>
      <x:c r="K822" s="2" t="str">
        <x:f>IF(OR(E822="",F822="",G822="",H822="",I822="",J822=""),"",IF(E822="Harness blocked","BLOCKED",IF(AND(E822="Present",F822="Supplied"),1,IF(OR(E822="Missing",E822="Not reached"),0,"CHECK"))))</x:f>
      </x:c>
      <x:c r="L822" s="2" t="str">
        <x:f>IF(ISNUMBER(K822),IF(AND(K822=1,I822="No"),1,0),K822)</x:f>
      </x:c>
      <x:c r="M822" s="2" t="n">
        <x:f>IF(ISNUMBER(K822),1,0)</x:f>
        <x:v>0</x:v>
      </x:c>
    </x:row>
    <x:row r="823" ht="24" customHeight="1">
      <x:c r="A823" s="2" t="str">
        <x:v>S07.02</x:v>
      </x:c>
      <x:c r="B823" s="2" t="str">
        <x:v>S07</x:v>
      </x:c>
      <x:c r="C823" s="2" t="str">
        <x:v>qwen_clean</x:v>
      </x:c>
      <x:c r="D823" s="2" t="n">
        <x:v>3</x:v>
      </x:c>
      <x:c r="E823" s="8"/>
      <x:c r="F823" s="8"/>
      <x:c r="G823" s="9"/>
      <x:c r="H823" s="9"/>
      <x:c r="I823" s="8"/>
      <x:c r="J823" s="8"/>
      <x:c r="K823" s="2" t="str">
        <x:f>IF(OR(E823="",F823="",G823="",H823="",I823="",J823=""),"",IF(E823="Harness blocked","BLOCKED",IF(AND(E823="Present",F823="Supplied"),1,IF(OR(E823="Missing",E823="Not reached"),0,"CHECK"))))</x:f>
      </x:c>
      <x:c r="L823" s="2" t="str">
        <x:f>IF(ISNUMBER(K823),IF(AND(K823=1,I823="No"),1,0),K823)</x:f>
      </x:c>
      <x:c r="M823" s="2" t="n">
        <x:f>IF(ISNUMBER(K823),1,0)</x:f>
        <x:v>0</x:v>
      </x:c>
    </x:row>
    <x:row r="824" ht="24" customHeight="1">
      <x:c r="A824" s="2" t="str">
        <x:v>S07.03</x:v>
      </x:c>
      <x:c r="B824" s="2" t="str">
        <x:v>S07</x:v>
      </x:c>
      <x:c r="C824" s="2" t="str">
        <x:v>qwen_clean</x:v>
      </x:c>
      <x:c r="D824" s="2" t="n">
        <x:v>3</x:v>
      </x:c>
      <x:c r="E824" s="8"/>
      <x:c r="F824" s="8"/>
      <x:c r="G824" s="9"/>
      <x:c r="H824" s="9"/>
      <x:c r="I824" s="8"/>
      <x:c r="J824" s="8"/>
      <x:c r="K824" s="2" t="str">
        <x:f>IF(OR(E824="",F824="",G824="",H824="",I824="",J824=""),"",IF(E824="Harness blocked","BLOCKED",IF(AND(E824="Present",F824="Supplied"),1,IF(OR(E824="Missing",E824="Not reached"),0,"CHECK"))))</x:f>
      </x:c>
      <x:c r="L824" s="2" t="str">
        <x:f>IF(ISNUMBER(K824),IF(AND(K824=1,I824="No"),1,0),K824)</x:f>
      </x:c>
      <x:c r="M824" s="2" t="n">
        <x:f>IF(ISNUMBER(K824),1,0)</x:f>
        <x:v>0</x:v>
      </x:c>
    </x:row>
    <x:row r="825" ht="24" customHeight="1">
      <x:c r="A825" s="2" t="str">
        <x:v>S07.04</x:v>
      </x:c>
      <x:c r="B825" s="2" t="str">
        <x:v>S07</x:v>
      </x:c>
      <x:c r="C825" s="2" t="str">
        <x:v>qwen_clean</x:v>
      </x:c>
      <x:c r="D825" s="2" t="n">
        <x:v>3</x:v>
      </x:c>
      <x:c r="E825" s="8"/>
      <x:c r="F825" s="8"/>
      <x:c r="G825" s="9"/>
      <x:c r="H825" s="9"/>
      <x:c r="I825" s="8"/>
      <x:c r="J825" s="8"/>
      <x:c r="K825" s="2" t="str">
        <x:f>IF(OR(E825="",F825="",G825="",H825="",I825="",J825=""),"",IF(E825="Harness blocked","BLOCKED",IF(AND(E825="Present",F825="Supplied"),1,IF(OR(E825="Missing",E825="Not reached"),0,"CHECK"))))</x:f>
      </x:c>
      <x:c r="L825" s="2" t="str">
        <x:f>IF(ISNUMBER(K825),IF(AND(K825=1,I825="No"),1,0),K825)</x:f>
      </x:c>
      <x:c r="M825" s="2" t="n">
        <x:f>IF(ISNUMBER(K825),1,0)</x:f>
        <x:v>0</x:v>
      </x:c>
    </x:row>
    <x:row r="826" ht="24" customHeight="1">
      <x:c r="A826" s="2" t="str">
        <x:v>S07.05</x:v>
      </x:c>
      <x:c r="B826" s="2" t="str">
        <x:v>S07</x:v>
      </x:c>
      <x:c r="C826" s="2" t="str">
        <x:v>qwen_clean</x:v>
      </x:c>
      <x:c r="D826" s="2" t="n">
        <x:v>3</x:v>
      </x:c>
      <x:c r="E826" s="8"/>
      <x:c r="F826" s="8"/>
      <x:c r="G826" s="9"/>
      <x:c r="H826" s="9"/>
      <x:c r="I826" s="8"/>
      <x:c r="J826" s="8"/>
      <x:c r="K826" s="2" t="str">
        <x:f>IF(OR(E826="",F826="",G826="",H826="",I826="",J826=""),"",IF(E826="Harness blocked","BLOCKED",IF(AND(E826="Present",F826="Supplied"),1,IF(OR(E826="Missing",E826="Not reached"),0,"CHECK"))))</x:f>
      </x:c>
      <x:c r="L826" s="2" t="str">
        <x:f>IF(ISNUMBER(K826),IF(AND(K826=1,I826="No"),1,0),K826)</x:f>
      </x:c>
      <x:c r="M826" s="2" t="n">
        <x:f>IF(ISNUMBER(K826),1,0)</x:f>
        <x:v>0</x:v>
      </x:c>
    </x:row>
    <x:row r="827" ht="24" customHeight="1">
      <x:c r="A827" s="2" t="str">
        <x:v>S07.06</x:v>
      </x:c>
      <x:c r="B827" s="2" t="str">
        <x:v>S07</x:v>
      </x:c>
      <x:c r="C827" s="2" t="str">
        <x:v>qwen_clean</x:v>
      </x:c>
      <x:c r="D827" s="2" t="n">
        <x:v>3</x:v>
      </x:c>
      <x:c r="E827" s="8"/>
      <x:c r="F827" s="8"/>
      <x:c r="G827" s="9"/>
      <x:c r="H827" s="9"/>
      <x:c r="I827" s="8"/>
      <x:c r="J827" s="8"/>
      <x:c r="K827" s="2" t="str">
        <x:f>IF(OR(E827="",F827="",G827="",H827="",I827="",J827=""),"",IF(E827="Harness blocked","BLOCKED",IF(AND(E827="Present",F827="Supplied"),1,IF(OR(E827="Missing",E827="Not reached"),0,"CHECK"))))</x:f>
      </x:c>
      <x:c r="L827" s="2" t="str">
        <x:f>IF(ISNUMBER(K827),IF(AND(K827=1,I827="No"),1,0),K827)</x:f>
      </x:c>
      <x:c r="M827" s="2" t="n">
        <x:f>IF(ISNUMBER(K827),1,0)</x:f>
        <x:v>0</x:v>
      </x:c>
    </x:row>
    <x:row r="828" ht="24" customHeight="1">
      <x:c r="A828" s="2" t="str">
        <x:v>S07.07</x:v>
      </x:c>
      <x:c r="B828" s="2" t="str">
        <x:v>S07</x:v>
      </x:c>
      <x:c r="C828" s="2" t="str">
        <x:v>qwen_clean</x:v>
      </x:c>
      <x:c r="D828" s="2" t="n">
        <x:v>3</x:v>
      </x:c>
      <x:c r="E828" s="8"/>
      <x:c r="F828" s="8"/>
      <x:c r="G828" s="9"/>
      <x:c r="H828" s="9"/>
      <x:c r="I828" s="8"/>
      <x:c r="J828" s="8"/>
      <x:c r="K828" s="2" t="str">
        <x:f>IF(OR(E828="",F828="",G828="",H828="",I828="",J828=""),"",IF(E828="Harness blocked","BLOCKED",IF(AND(E828="Present",F828="Supplied"),1,IF(OR(E828="Missing",E828="Not reached"),0,"CHECK"))))</x:f>
      </x:c>
      <x:c r="L828" s="2" t="str">
        <x:f>IF(ISNUMBER(K828),IF(AND(K828=1,I828="No"),1,0),K828)</x:f>
      </x:c>
      <x:c r="M828" s="2" t="n">
        <x:f>IF(ISNUMBER(K828),1,0)</x:f>
        <x:v>0</x:v>
      </x:c>
    </x:row>
    <x:row r="829" ht="24" customHeight="1">
      <x:c r="A829" s="2" t="str">
        <x:v>S07.08</x:v>
      </x:c>
      <x:c r="B829" s="2" t="str">
        <x:v>S07</x:v>
      </x:c>
      <x:c r="C829" s="2" t="str">
        <x:v>qwen_clean</x:v>
      </x:c>
      <x:c r="D829" s="2" t="n">
        <x:v>3</x:v>
      </x:c>
      <x:c r="E829" s="8"/>
      <x:c r="F829" s="8"/>
      <x:c r="G829" s="9"/>
      <x:c r="H829" s="9"/>
      <x:c r="I829" s="8"/>
      <x:c r="J829" s="8"/>
      <x:c r="K829" s="2" t="str">
        <x:f>IF(OR(E829="",F829="",G829="",H829="",I829="",J829=""),"",IF(E829="Harness blocked","BLOCKED",IF(AND(E829="Present",F829="Supplied"),1,IF(OR(E829="Missing",E829="Not reached"),0,"CHECK"))))</x:f>
      </x:c>
      <x:c r="L829" s="2" t="str">
        <x:f>IF(ISNUMBER(K829),IF(AND(K829=1,I829="No"),1,0),K829)</x:f>
      </x:c>
      <x:c r="M829" s="2" t="n">
        <x:f>IF(ISNUMBER(K829),1,0)</x:f>
        <x:v>0</x:v>
      </x:c>
    </x:row>
    <x:row r="830" ht="24" customHeight="1">
      <x:c r="A830" s="2" t="str">
        <x:v>S08.01</x:v>
      </x:c>
      <x:c r="B830" s="2" t="str">
        <x:v>S08</x:v>
      </x:c>
      <x:c r="C830" s="2" t="str">
        <x:v>qwen_clean</x:v>
      </x:c>
      <x:c r="D830" s="2" t="n">
        <x:v>3</x:v>
      </x:c>
      <x:c r="E830" s="8"/>
      <x:c r="F830" s="8"/>
      <x:c r="G830" s="9"/>
      <x:c r="H830" s="9"/>
      <x:c r="I830" s="8"/>
      <x:c r="J830" s="8"/>
      <x:c r="K830" s="2" t="str">
        <x:f>IF(OR(E830="",F830="",G830="",H830="",I830="",J830=""),"",IF(E830="Harness blocked","BLOCKED",IF(AND(E830="Present",F830="Supplied"),1,IF(OR(E830="Missing",E830="Not reached"),0,"CHECK"))))</x:f>
      </x:c>
      <x:c r="L830" s="2" t="str">
        <x:f>IF(ISNUMBER(K830),IF(AND(K830=1,I830="No"),1,0),K830)</x:f>
      </x:c>
      <x:c r="M830" s="2" t="n">
        <x:f>IF(ISNUMBER(K830),1,0)</x:f>
        <x:v>0</x:v>
      </x:c>
    </x:row>
    <x:row r="831" ht="24" customHeight="1">
      <x:c r="A831" s="2" t="str">
        <x:v>S08.02</x:v>
      </x:c>
      <x:c r="B831" s="2" t="str">
        <x:v>S08</x:v>
      </x:c>
      <x:c r="C831" s="2" t="str">
        <x:v>qwen_clean</x:v>
      </x:c>
      <x:c r="D831" s="2" t="n">
        <x:v>3</x:v>
      </x:c>
      <x:c r="E831" s="8"/>
      <x:c r="F831" s="8"/>
      <x:c r="G831" s="9"/>
      <x:c r="H831" s="9"/>
      <x:c r="I831" s="8"/>
      <x:c r="J831" s="8"/>
      <x:c r="K831" s="2" t="str">
        <x:f>IF(OR(E831="",F831="",G831="",H831="",I831="",J831=""),"",IF(E831="Harness blocked","BLOCKED",IF(AND(E831="Present",F831="Supplied"),1,IF(OR(E831="Missing",E831="Not reached"),0,"CHECK"))))</x:f>
      </x:c>
      <x:c r="L831" s="2" t="str">
        <x:f>IF(ISNUMBER(K831),IF(AND(K831=1,I831="No"),1,0),K831)</x:f>
      </x:c>
      <x:c r="M831" s="2" t="n">
        <x:f>IF(ISNUMBER(K831),1,0)</x:f>
        <x:v>0</x:v>
      </x:c>
    </x:row>
    <x:row r="832" ht="24" customHeight="1">
      <x:c r="A832" s="2" t="str">
        <x:v>S08.03</x:v>
      </x:c>
      <x:c r="B832" s="2" t="str">
        <x:v>S08</x:v>
      </x:c>
      <x:c r="C832" s="2" t="str">
        <x:v>qwen_clean</x:v>
      </x:c>
      <x:c r="D832" s="2" t="n">
        <x:v>3</x:v>
      </x:c>
      <x:c r="E832" s="8"/>
      <x:c r="F832" s="8"/>
      <x:c r="G832" s="9"/>
      <x:c r="H832" s="9"/>
      <x:c r="I832" s="8"/>
      <x:c r="J832" s="8"/>
      <x:c r="K832" s="2" t="str">
        <x:f>IF(OR(E832="",F832="",G832="",H832="",I832="",J832=""),"",IF(E832="Harness blocked","BLOCKED",IF(AND(E832="Present",F832="Supplied"),1,IF(OR(E832="Missing",E832="Not reached"),0,"CHECK"))))</x:f>
      </x:c>
      <x:c r="L832" s="2" t="str">
        <x:f>IF(ISNUMBER(K832),IF(AND(K832=1,I832="No"),1,0),K832)</x:f>
      </x:c>
      <x:c r="M832" s="2" t="n">
        <x:f>IF(ISNUMBER(K832),1,0)</x:f>
        <x:v>0</x:v>
      </x:c>
    </x:row>
    <x:row r="833" ht="24" customHeight="1">
      <x:c r="A833" s="2" t="str">
        <x:v>S08.04</x:v>
      </x:c>
      <x:c r="B833" s="2" t="str">
        <x:v>S08</x:v>
      </x:c>
      <x:c r="C833" s="2" t="str">
        <x:v>qwen_clean</x:v>
      </x:c>
      <x:c r="D833" s="2" t="n">
        <x:v>3</x:v>
      </x:c>
      <x:c r="E833" s="8"/>
      <x:c r="F833" s="8"/>
      <x:c r="G833" s="9"/>
      <x:c r="H833" s="9"/>
      <x:c r="I833" s="8"/>
      <x:c r="J833" s="8"/>
      <x:c r="K833" s="2" t="str">
        <x:f>IF(OR(E833="",F833="",G833="",H833="",I833="",J833=""),"",IF(E833="Harness blocked","BLOCKED",IF(AND(E833="Present",F833="Supplied"),1,IF(OR(E833="Missing",E833="Not reached"),0,"CHECK"))))</x:f>
      </x:c>
      <x:c r="L833" s="2" t="str">
        <x:f>IF(ISNUMBER(K833),IF(AND(K833=1,I833="No"),1,0),K833)</x:f>
      </x:c>
      <x:c r="M833" s="2" t="n">
        <x:f>IF(ISNUMBER(K833),1,0)</x:f>
        <x:v>0</x:v>
      </x:c>
    </x:row>
    <x:row r="834" ht="24" customHeight="1">
      <x:c r="A834" s="2" t="str">
        <x:v>S08.05</x:v>
      </x:c>
      <x:c r="B834" s="2" t="str">
        <x:v>S08</x:v>
      </x:c>
      <x:c r="C834" s="2" t="str">
        <x:v>qwen_clean</x:v>
      </x:c>
      <x:c r="D834" s="2" t="n">
        <x:v>3</x:v>
      </x:c>
      <x:c r="E834" s="8"/>
      <x:c r="F834" s="8"/>
      <x:c r="G834" s="9"/>
      <x:c r="H834" s="9"/>
      <x:c r="I834" s="8"/>
      <x:c r="J834" s="8"/>
      <x:c r="K834" s="2" t="str">
        <x:f>IF(OR(E834="",F834="",G834="",H834="",I834="",J834=""),"",IF(E834="Harness blocked","BLOCKED",IF(AND(E834="Present",F834="Supplied"),1,IF(OR(E834="Missing",E834="Not reached"),0,"CHECK"))))</x:f>
      </x:c>
      <x:c r="L834" s="2" t="str">
        <x:f>IF(ISNUMBER(K834),IF(AND(K834=1,I834="No"),1,0),K834)</x:f>
      </x:c>
      <x:c r="M834" s="2" t="n">
        <x:f>IF(ISNUMBER(K834),1,0)</x:f>
        <x:v>0</x:v>
      </x:c>
    </x:row>
    <x:row r="835" ht="24" customHeight="1">
      <x:c r="A835" s="2" t="str">
        <x:v>S08.06</x:v>
      </x:c>
      <x:c r="B835" s="2" t="str">
        <x:v>S08</x:v>
      </x:c>
      <x:c r="C835" s="2" t="str">
        <x:v>qwen_clean</x:v>
      </x:c>
      <x:c r="D835" s="2" t="n">
        <x:v>3</x:v>
      </x:c>
      <x:c r="E835" s="8"/>
      <x:c r="F835" s="8"/>
      <x:c r="G835" s="9"/>
      <x:c r="H835" s="9"/>
      <x:c r="I835" s="8"/>
      <x:c r="J835" s="8"/>
      <x:c r="K835" s="2" t="str">
        <x:f>IF(OR(E835="",F835="",G835="",H835="",I835="",J835=""),"",IF(E835="Harness blocked","BLOCKED",IF(AND(E835="Present",F835="Supplied"),1,IF(OR(E835="Missing",E835="Not reached"),0,"CHECK"))))</x:f>
      </x:c>
      <x:c r="L835" s="2" t="str">
        <x:f>IF(ISNUMBER(K835),IF(AND(K835=1,I835="No"),1,0),K835)</x:f>
      </x:c>
      <x:c r="M835" s="2" t="n">
        <x:f>IF(ISNUMBER(K835),1,0)</x:f>
        <x:v>0</x:v>
      </x:c>
    </x:row>
    <x:row r="836" ht="24" customHeight="1">
      <x:c r="A836" s="2" t="str">
        <x:v>S08.07</x:v>
      </x:c>
      <x:c r="B836" s="2" t="str">
        <x:v>S08</x:v>
      </x:c>
      <x:c r="C836" s="2" t="str">
        <x:v>qwen_clean</x:v>
      </x:c>
      <x:c r="D836" s="2" t="n">
        <x:v>3</x:v>
      </x:c>
      <x:c r="E836" s="8"/>
      <x:c r="F836" s="8"/>
      <x:c r="G836" s="9"/>
      <x:c r="H836" s="9"/>
      <x:c r="I836" s="8"/>
      <x:c r="J836" s="8"/>
      <x:c r="K836" s="2" t="str">
        <x:f>IF(OR(E836="",F836="",G836="",H836="",I836="",J836=""),"",IF(E836="Harness blocked","BLOCKED",IF(AND(E836="Present",F836="Supplied"),1,IF(OR(E836="Missing",E836="Not reached"),0,"CHECK"))))</x:f>
      </x:c>
      <x:c r="L836" s="2" t="str">
        <x:f>IF(ISNUMBER(K836),IF(AND(K836=1,I836="No"),1,0),K836)</x:f>
      </x:c>
      <x:c r="M836" s="2" t="n">
        <x:f>IF(ISNUMBER(K836),1,0)</x:f>
        <x:v>0</x:v>
      </x:c>
    </x:row>
    <x:row r="837" ht="24" customHeight="1">
      <x:c r="A837" s="2" t="str">
        <x:v>S08.08</x:v>
      </x:c>
      <x:c r="B837" s="2" t="str">
        <x:v>S08</x:v>
      </x:c>
      <x:c r="C837" s="2" t="str">
        <x:v>qwen_clean</x:v>
      </x:c>
      <x:c r="D837" s="2" t="n">
        <x:v>3</x:v>
      </x:c>
      <x:c r="E837" s="8"/>
      <x:c r="F837" s="8"/>
      <x:c r="G837" s="9"/>
      <x:c r="H837" s="9"/>
      <x:c r="I837" s="8"/>
      <x:c r="J837" s="8"/>
      <x:c r="K837" s="2" t="str">
        <x:f>IF(OR(E837="",F837="",G837="",H837="",I837="",J837=""),"",IF(E837="Harness blocked","BLOCKED",IF(AND(E837="Present",F837="Supplied"),1,IF(OR(E837="Missing",E837="Not reached"),0,"CHECK"))))</x:f>
      </x:c>
      <x:c r="L837" s="2" t="str">
        <x:f>IF(ISNUMBER(K837),IF(AND(K837=1,I837="No"),1,0),K837)</x:f>
      </x:c>
      <x:c r="M837" s="2" t="n">
        <x:f>IF(ISNUMBER(K837),1,0)</x:f>
        <x:v>0</x:v>
      </x:c>
    </x:row>
    <x:row r="838" ht="24" customHeight="1">
      <x:c r="A838" s="2" t="str">
        <x:v>S09.01</x:v>
      </x:c>
      <x:c r="B838" s="2" t="str">
        <x:v>S09</x:v>
      </x:c>
      <x:c r="C838" s="2" t="str">
        <x:v>qwen_clean</x:v>
      </x:c>
      <x:c r="D838" s="2" t="n">
        <x:v>3</x:v>
      </x:c>
      <x:c r="E838" s="8"/>
      <x:c r="F838" s="8"/>
      <x:c r="G838" s="9"/>
      <x:c r="H838" s="9"/>
      <x:c r="I838" s="8"/>
      <x:c r="J838" s="8"/>
      <x:c r="K838" s="2" t="str">
        <x:f>IF(OR(E838="",F838="",G838="",H838="",I838="",J838=""),"",IF(E838="Harness blocked","BLOCKED",IF(AND(E838="Present",F838="Supplied"),1,IF(OR(E838="Missing",E838="Not reached"),0,"CHECK"))))</x:f>
      </x:c>
      <x:c r="L838" s="2" t="str">
        <x:f>IF(ISNUMBER(K838),IF(AND(K838=1,I838="No"),1,0),K838)</x:f>
      </x:c>
      <x:c r="M838" s="2" t="n">
        <x:f>IF(ISNUMBER(K838),1,0)</x:f>
        <x:v>0</x:v>
      </x:c>
    </x:row>
    <x:row r="839" ht="24" customHeight="1">
      <x:c r="A839" s="2" t="str">
        <x:v>S09.02</x:v>
      </x:c>
      <x:c r="B839" s="2" t="str">
        <x:v>S09</x:v>
      </x:c>
      <x:c r="C839" s="2" t="str">
        <x:v>qwen_clean</x:v>
      </x:c>
      <x:c r="D839" s="2" t="n">
        <x:v>3</x:v>
      </x:c>
      <x:c r="E839" s="8"/>
      <x:c r="F839" s="8"/>
      <x:c r="G839" s="9"/>
      <x:c r="H839" s="9"/>
      <x:c r="I839" s="8"/>
      <x:c r="J839" s="8"/>
      <x:c r="K839" s="2" t="str">
        <x:f>IF(OR(E839="",F839="",G839="",H839="",I839="",J839=""),"",IF(E839="Harness blocked","BLOCKED",IF(AND(E839="Present",F839="Supplied"),1,IF(OR(E839="Missing",E839="Not reached"),0,"CHECK"))))</x:f>
      </x:c>
      <x:c r="L839" s="2" t="str">
        <x:f>IF(ISNUMBER(K839),IF(AND(K839=1,I839="No"),1,0),K839)</x:f>
      </x:c>
      <x:c r="M839" s="2" t="n">
        <x:f>IF(ISNUMBER(K839),1,0)</x:f>
        <x:v>0</x:v>
      </x:c>
    </x:row>
    <x:row r="840" ht="24" customHeight="1">
      <x:c r="A840" s="2" t="str">
        <x:v>S09.03</x:v>
      </x:c>
      <x:c r="B840" s="2" t="str">
        <x:v>S09</x:v>
      </x:c>
      <x:c r="C840" s="2" t="str">
        <x:v>qwen_clean</x:v>
      </x:c>
      <x:c r="D840" s="2" t="n">
        <x:v>3</x:v>
      </x:c>
      <x:c r="E840" s="8"/>
      <x:c r="F840" s="8"/>
      <x:c r="G840" s="9"/>
      <x:c r="H840" s="9"/>
      <x:c r="I840" s="8"/>
      <x:c r="J840" s="8"/>
      <x:c r="K840" s="2" t="str">
        <x:f>IF(OR(E840="",F840="",G840="",H840="",I840="",J840=""),"",IF(E840="Harness blocked","BLOCKED",IF(AND(E840="Present",F840="Supplied"),1,IF(OR(E840="Missing",E840="Not reached"),0,"CHECK"))))</x:f>
      </x:c>
      <x:c r="L840" s="2" t="str">
        <x:f>IF(ISNUMBER(K840),IF(AND(K840=1,I840="No"),1,0),K840)</x:f>
      </x:c>
      <x:c r="M840" s="2" t="n">
        <x:f>IF(ISNUMBER(K840),1,0)</x:f>
        <x:v>0</x:v>
      </x:c>
    </x:row>
    <x:row r="841" ht="24" customHeight="1">
      <x:c r="A841" s="2" t="str">
        <x:v>S09.04</x:v>
      </x:c>
      <x:c r="B841" s="2" t="str">
        <x:v>S09</x:v>
      </x:c>
      <x:c r="C841" s="2" t="str">
        <x:v>qwen_clean</x:v>
      </x:c>
      <x:c r="D841" s="2" t="n">
        <x:v>3</x:v>
      </x:c>
      <x:c r="E841" s="8"/>
      <x:c r="F841" s="8"/>
      <x:c r="G841" s="9"/>
      <x:c r="H841" s="9"/>
      <x:c r="I841" s="8"/>
      <x:c r="J841" s="8"/>
      <x:c r="K841" s="2" t="str">
        <x:f>IF(OR(E841="",F841="",G841="",H841="",I841="",J841=""),"",IF(E841="Harness blocked","BLOCKED",IF(AND(E841="Present",F841="Supplied"),1,IF(OR(E841="Missing",E841="Not reached"),0,"CHECK"))))</x:f>
      </x:c>
      <x:c r="L841" s="2" t="str">
        <x:f>IF(ISNUMBER(K841),IF(AND(K841=1,I841="No"),1,0),K841)</x:f>
      </x:c>
      <x:c r="M841" s="2" t="n">
        <x:f>IF(ISNUMBER(K841),1,0)</x:f>
        <x:v>0</x:v>
      </x:c>
    </x:row>
    <x:row r="842" ht="24" customHeight="1">
      <x:c r="A842" s="2" t="str">
        <x:v>S09.05</x:v>
      </x:c>
      <x:c r="B842" s="2" t="str">
        <x:v>S09</x:v>
      </x:c>
      <x:c r="C842" s="2" t="str">
        <x:v>qwen_clean</x:v>
      </x:c>
      <x:c r="D842" s="2" t="n">
        <x:v>3</x:v>
      </x:c>
      <x:c r="E842" s="8"/>
      <x:c r="F842" s="8"/>
      <x:c r="G842" s="9"/>
      <x:c r="H842" s="9"/>
      <x:c r="I842" s="8"/>
      <x:c r="J842" s="8"/>
      <x:c r="K842" s="2" t="str">
        <x:f>IF(OR(E842="",F842="",G842="",H842="",I842="",J842=""),"",IF(E842="Harness blocked","BLOCKED",IF(AND(E842="Present",F842="Supplied"),1,IF(OR(E842="Missing",E842="Not reached"),0,"CHECK"))))</x:f>
      </x:c>
      <x:c r="L842" s="2" t="str">
        <x:f>IF(ISNUMBER(K842),IF(AND(K842=1,I842="No"),1,0),K842)</x:f>
      </x:c>
      <x:c r="M842" s="2" t="n">
        <x:f>IF(ISNUMBER(K842),1,0)</x:f>
        <x:v>0</x:v>
      </x:c>
    </x:row>
    <x:row r="843" ht="24" customHeight="1">
      <x:c r="A843" s="2" t="str">
        <x:v>S09.06</x:v>
      </x:c>
      <x:c r="B843" s="2" t="str">
        <x:v>S09</x:v>
      </x:c>
      <x:c r="C843" s="2" t="str">
        <x:v>qwen_clean</x:v>
      </x:c>
      <x:c r="D843" s="2" t="n">
        <x:v>3</x:v>
      </x:c>
      <x:c r="E843" s="8"/>
      <x:c r="F843" s="8"/>
      <x:c r="G843" s="9"/>
      <x:c r="H843" s="9"/>
      <x:c r="I843" s="8"/>
      <x:c r="J843" s="8"/>
      <x:c r="K843" s="2" t="str">
        <x:f>IF(OR(E843="",F843="",G843="",H843="",I843="",J843=""),"",IF(E843="Harness blocked","BLOCKED",IF(AND(E843="Present",F843="Supplied"),1,IF(OR(E843="Missing",E843="Not reached"),0,"CHECK"))))</x:f>
      </x:c>
      <x:c r="L843" s="2" t="str">
        <x:f>IF(ISNUMBER(K843),IF(AND(K843=1,I843="No"),1,0),K843)</x:f>
      </x:c>
      <x:c r="M843" s="2" t="n">
        <x:f>IF(ISNUMBER(K843),1,0)</x:f>
        <x:v>0</x:v>
      </x:c>
    </x:row>
    <x:row r="844" ht="24" customHeight="1">
      <x:c r="A844" s="2" t="str">
        <x:v>S09.07</x:v>
      </x:c>
      <x:c r="B844" s="2" t="str">
        <x:v>S09</x:v>
      </x:c>
      <x:c r="C844" s="2" t="str">
        <x:v>qwen_clean</x:v>
      </x:c>
      <x:c r="D844" s="2" t="n">
        <x:v>3</x:v>
      </x:c>
      <x:c r="E844" s="8"/>
      <x:c r="F844" s="8"/>
      <x:c r="G844" s="9"/>
      <x:c r="H844" s="9"/>
      <x:c r="I844" s="8"/>
      <x:c r="J844" s="8"/>
      <x:c r="K844" s="2" t="str">
        <x:f>IF(OR(E844="",F844="",G844="",H844="",I844="",J844=""),"",IF(E844="Harness blocked","BLOCKED",IF(AND(E844="Present",F844="Supplied"),1,IF(OR(E844="Missing",E844="Not reached"),0,"CHECK"))))</x:f>
      </x:c>
      <x:c r="L844" s="2" t="str">
        <x:f>IF(ISNUMBER(K844),IF(AND(K844=1,I844="No"),1,0),K844)</x:f>
      </x:c>
      <x:c r="M844" s="2" t="n">
        <x:f>IF(ISNUMBER(K844),1,0)</x:f>
        <x:v>0</x:v>
      </x:c>
    </x:row>
    <x:row r="845" ht="24" customHeight="1">
      <x:c r="A845" s="2" t="str">
        <x:v>S09.08</x:v>
      </x:c>
      <x:c r="B845" s="2" t="str">
        <x:v>S09</x:v>
      </x:c>
      <x:c r="C845" s="2" t="str">
        <x:v>qwen_clean</x:v>
      </x:c>
      <x:c r="D845" s="2" t="n">
        <x:v>3</x:v>
      </x:c>
      <x:c r="E845" s="8"/>
      <x:c r="F845" s="8"/>
      <x:c r="G845" s="9"/>
      <x:c r="H845" s="9"/>
      <x:c r="I845" s="8"/>
      <x:c r="J845" s="8"/>
      <x:c r="K845" s="2" t="str">
        <x:f>IF(OR(E845="",F845="",G845="",H845="",I845="",J845=""),"",IF(E845="Harness blocked","BLOCKED",IF(AND(E845="Present",F845="Supplied"),1,IF(OR(E845="Missing",E845="Not reached"),0,"CHECK"))))</x:f>
      </x:c>
      <x:c r="L845" s="2" t="str">
        <x:f>IF(ISNUMBER(K845),IF(AND(K845=1,I845="No"),1,0),K845)</x:f>
      </x:c>
      <x:c r="M845" s="2" t="n">
        <x:f>IF(ISNUMBER(K845),1,0)</x:f>
        <x:v>0</x:v>
      </x:c>
    </x:row>
    <x:row r="846" ht="24" customHeight="1">
      <x:c r="A846" s="2" t="str">
        <x:v>S10.01</x:v>
      </x:c>
      <x:c r="B846" s="2" t="str">
        <x:v>S10</x:v>
      </x:c>
      <x:c r="C846" s="2" t="str">
        <x:v>qwen_clean</x:v>
      </x:c>
      <x:c r="D846" s="2" t="n">
        <x:v>3</x:v>
      </x:c>
      <x:c r="E846" s="8"/>
      <x:c r="F846" s="8"/>
      <x:c r="G846" s="9"/>
      <x:c r="H846" s="9"/>
      <x:c r="I846" s="8"/>
      <x:c r="J846" s="8"/>
      <x:c r="K846" s="2" t="str">
        <x:f>IF(OR(E846="",F846="",G846="",H846="",I846="",J846=""),"",IF(E846="Harness blocked","BLOCKED",IF(AND(E846="Present",F846="Supplied"),1,IF(OR(E846="Missing",E846="Not reached"),0,"CHECK"))))</x:f>
      </x:c>
      <x:c r="L846" s="2" t="str">
        <x:f>IF(ISNUMBER(K846),IF(AND(K846=1,I846="No"),1,0),K846)</x:f>
      </x:c>
      <x:c r="M846" s="2" t="n">
        <x:f>IF(ISNUMBER(K846),1,0)</x:f>
        <x:v>0</x:v>
      </x:c>
    </x:row>
    <x:row r="847" ht="24" customHeight="1">
      <x:c r="A847" s="2" t="str">
        <x:v>S10.02</x:v>
      </x:c>
      <x:c r="B847" s="2" t="str">
        <x:v>S10</x:v>
      </x:c>
      <x:c r="C847" s="2" t="str">
        <x:v>qwen_clean</x:v>
      </x:c>
      <x:c r="D847" s="2" t="n">
        <x:v>3</x:v>
      </x:c>
      <x:c r="E847" s="8"/>
      <x:c r="F847" s="8"/>
      <x:c r="G847" s="9"/>
      <x:c r="H847" s="9"/>
      <x:c r="I847" s="8"/>
      <x:c r="J847" s="8"/>
      <x:c r="K847" s="2" t="str">
        <x:f>IF(OR(E847="",F847="",G847="",H847="",I847="",J847=""),"",IF(E847="Harness blocked","BLOCKED",IF(AND(E847="Present",F847="Supplied"),1,IF(OR(E847="Missing",E847="Not reached"),0,"CHECK"))))</x:f>
      </x:c>
      <x:c r="L847" s="2" t="str">
        <x:f>IF(ISNUMBER(K847),IF(AND(K847=1,I847="No"),1,0),K847)</x:f>
      </x:c>
      <x:c r="M847" s="2" t="n">
        <x:f>IF(ISNUMBER(K847),1,0)</x:f>
        <x:v>0</x:v>
      </x:c>
    </x:row>
    <x:row r="848" ht="24" customHeight="1">
      <x:c r="A848" s="2" t="str">
        <x:v>S10.03</x:v>
      </x:c>
      <x:c r="B848" s="2" t="str">
        <x:v>S10</x:v>
      </x:c>
      <x:c r="C848" s="2" t="str">
        <x:v>qwen_clean</x:v>
      </x:c>
      <x:c r="D848" s="2" t="n">
        <x:v>3</x:v>
      </x:c>
      <x:c r="E848" s="8"/>
      <x:c r="F848" s="8"/>
      <x:c r="G848" s="9"/>
      <x:c r="H848" s="9"/>
      <x:c r="I848" s="8"/>
      <x:c r="J848" s="8"/>
      <x:c r="K848" s="2" t="str">
        <x:f>IF(OR(E848="",F848="",G848="",H848="",I848="",J848=""),"",IF(E848="Harness blocked","BLOCKED",IF(AND(E848="Present",F848="Supplied"),1,IF(OR(E848="Missing",E848="Not reached"),0,"CHECK"))))</x:f>
      </x:c>
      <x:c r="L848" s="2" t="str">
        <x:f>IF(ISNUMBER(K848),IF(AND(K848=1,I848="No"),1,0),K848)</x:f>
      </x:c>
      <x:c r="M848" s="2" t="n">
        <x:f>IF(ISNUMBER(K848),1,0)</x:f>
        <x:v>0</x:v>
      </x:c>
    </x:row>
    <x:row r="849" ht="24" customHeight="1">
      <x:c r="A849" s="2" t="str">
        <x:v>S10.04</x:v>
      </x:c>
      <x:c r="B849" s="2" t="str">
        <x:v>S10</x:v>
      </x:c>
      <x:c r="C849" s="2" t="str">
        <x:v>qwen_clean</x:v>
      </x:c>
      <x:c r="D849" s="2" t="n">
        <x:v>3</x:v>
      </x:c>
      <x:c r="E849" s="8"/>
      <x:c r="F849" s="8"/>
      <x:c r="G849" s="9"/>
      <x:c r="H849" s="9"/>
      <x:c r="I849" s="8"/>
      <x:c r="J849" s="8"/>
      <x:c r="K849" s="2" t="str">
        <x:f>IF(OR(E849="",F849="",G849="",H849="",I849="",J849=""),"",IF(E849="Harness blocked","BLOCKED",IF(AND(E849="Present",F849="Supplied"),1,IF(OR(E849="Missing",E849="Not reached"),0,"CHECK"))))</x:f>
      </x:c>
      <x:c r="L849" s="2" t="str">
        <x:f>IF(ISNUMBER(K849),IF(AND(K849=1,I849="No"),1,0),K849)</x:f>
      </x:c>
      <x:c r="M849" s="2" t="n">
        <x:f>IF(ISNUMBER(K849),1,0)</x:f>
        <x:v>0</x:v>
      </x:c>
    </x:row>
    <x:row r="850" ht="24" customHeight="1">
      <x:c r="A850" s="2" t="str">
        <x:v>S10.05</x:v>
      </x:c>
      <x:c r="B850" s="2" t="str">
        <x:v>S10</x:v>
      </x:c>
      <x:c r="C850" s="2" t="str">
        <x:v>qwen_clean</x:v>
      </x:c>
      <x:c r="D850" s="2" t="n">
        <x:v>3</x:v>
      </x:c>
      <x:c r="E850" s="8"/>
      <x:c r="F850" s="8"/>
      <x:c r="G850" s="9"/>
      <x:c r="H850" s="9"/>
      <x:c r="I850" s="8"/>
      <x:c r="J850" s="8"/>
      <x:c r="K850" s="2" t="str">
        <x:f>IF(OR(E850="",F850="",G850="",H850="",I850="",J850=""),"",IF(E850="Harness blocked","BLOCKED",IF(AND(E850="Present",F850="Supplied"),1,IF(OR(E850="Missing",E850="Not reached"),0,"CHECK"))))</x:f>
      </x:c>
      <x:c r="L850" s="2" t="str">
        <x:f>IF(ISNUMBER(K850),IF(AND(K850=1,I850="No"),1,0),K850)</x:f>
      </x:c>
      <x:c r="M850" s="2" t="n">
        <x:f>IF(ISNUMBER(K850),1,0)</x:f>
        <x:v>0</x:v>
      </x:c>
    </x:row>
    <x:row r="851" ht="24" customHeight="1">
      <x:c r="A851" s="2" t="str">
        <x:v>S10.06</x:v>
      </x:c>
      <x:c r="B851" s="2" t="str">
        <x:v>S10</x:v>
      </x:c>
      <x:c r="C851" s="2" t="str">
        <x:v>qwen_clean</x:v>
      </x:c>
      <x:c r="D851" s="2" t="n">
        <x:v>3</x:v>
      </x:c>
      <x:c r="E851" s="8"/>
      <x:c r="F851" s="8"/>
      <x:c r="G851" s="9"/>
      <x:c r="H851" s="9"/>
      <x:c r="I851" s="8"/>
      <x:c r="J851" s="8"/>
      <x:c r="K851" s="2" t="str">
        <x:f>IF(OR(E851="",F851="",G851="",H851="",I851="",J851=""),"",IF(E851="Harness blocked","BLOCKED",IF(AND(E851="Present",F851="Supplied"),1,IF(OR(E851="Missing",E851="Not reached"),0,"CHECK"))))</x:f>
      </x:c>
      <x:c r="L851" s="2" t="str">
        <x:f>IF(ISNUMBER(K851),IF(AND(K851=1,I851="No"),1,0),K851)</x:f>
      </x:c>
      <x:c r="M851" s="2" t="n">
        <x:f>IF(ISNUMBER(K851),1,0)</x:f>
        <x:v>0</x:v>
      </x:c>
    </x:row>
    <x:row r="852" ht="24" customHeight="1">
      <x:c r="A852" s="2" t="str">
        <x:v>S10.07</x:v>
      </x:c>
      <x:c r="B852" s="2" t="str">
        <x:v>S10</x:v>
      </x:c>
      <x:c r="C852" s="2" t="str">
        <x:v>qwen_clean</x:v>
      </x:c>
      <x:c r="D852" s="2" t="n">
        <x:v>3</x:v>
      </x:c>
      <x:c r="E852" s="8"/>
      <x:c r="F852" s="8"/>
      <x:c r="G852" s="9"/>
      <x:c r="H852" s="9"/>
      <x:c r="I852" s="8"/>
      <x:c r="J852" s="8"/>
      <x:c r="K852" s="2" t="str">
        <x:f>IF(OR(E852="",F852="",G852="",H852="",I852="",J852=""),"",IF(E852="Harness blocked","BLOCKED",IF(AND(E852="Present",F852="Supplied"),1,IF(OR(E852="Missing",E852="Not reached"),0,"CHECK"))))</x:f>
      </x:c>
      <x:c r="L852" s="2" t="str">
        <x:f>IF(ISNUMBER(K852),IF(AND(K852=1,I852="No"),1,0),K852)</x:f>
      </x:c>
      <x:c r="M852" s="2" t="n">
        <x:f>IF(ISNUMBER(K852),1,0)</x:f>
        <x:v>0</x:v>
      </x:c>
    </x:row>
    <x:row r="853" ht="24" customHeight="1">
      <x:c r="A853" s="2" t="str">
        <x:v>S10.08</x:v>
      </x:c>
      <x:c r="B853" s="2" t="str">
        <x:v>S10</x:v>
      </x:c>
      <x:c r="C853" s="2" t="str">
        <x:v>qwen_clean</x:v>
      </x:c>
      <x:c r="D853" s="2" t="n">
        <x:v>3</x:v>
      </x:c>
      <x:c r="E853" s="8"/>
      <x:c r="F853" s="8"/>
      <x:c r="G853" s="9"/>
      <x:c r="H853" s="9"/>
      <x:c r="I853" s="8"/>
      <x:c r="J853" s="8"/>
      <x:c r="K853" s="2" t="str">
        <x:f>IF(OR(E853="",F853="",G853="",H853="",I853="",J853=""),"",IF(E853="Harness blocked","BLOCKED",IF(AND(E853="Present",F853="Supplied"),1,IF(OR(E853="Missing",E853="Not reached"),0,"CHECK"))))</x:f>
      </x:c>
      <x:c r="L853" s="2" t="str">
        <x:f>IF(ISNUMBER(K853),IF(AND(K853=1,I853="No"),1,0),K853)</x:f>
      </x:c>
      <x:c r="M853" s="2" t="n">
        <x:f>IF(ISNUMBER(K853),1,0)</x:f>
        <x:v>0</x:v>
      </x:c>
    </x:row>
    <x:row r="854" ht="24" customHeight="1">
      <x:c r="A854" s="2" t="str">
        <x:v>S11.01</x:v>
      </x:c>
      <x:c r="B854" s="2" t="str">
        <x:v>S11</x:v>
      </x:c>
      <x:c r="C854" s="2" t="str">
        <x:v>qwen_clean</x:v>
      </x:c>
      <x:c r="D854" s="2" t="n">
        <x:v>3</x:v>
      </x:c>
      <x:c r="E854" s="8"/>
      <x:c r="F854" s="8"/>
      <x:c r="G854" s="9"/>
      <x:c r="H854" s="9"/>
      <x:c r="I854" s="8"/>
      <x:c r="J854" s="8"/>
      <x:c r="K854" s="2" t="str">
        <x:f>IF(OR(E854="",F854="",G854="",H854="",I854="",J854=""),"",IF(E854="Harness blocked","BLOCKED",IF(AND(E854="Present",F854="Supplied"),1,IF(OR(E854="Missing",E854="Not reached"),0,"CHECK"))))</x:f>
      </x:c>
      <x:c r="L854" s="2" t="str">
        <x:f>IF(ISNUMBER(K854),IF(AND(K854=1,I854="No"),1,0),K854)</x:f>
      </x:c>
      <x:c r="M854" s="2" t="n">
        <x:f>IF(ISNUMBER(K854),1,0)</x:f>
        <x:v>0</x:v>
      </x:c>
    </x:row>
    <x:row r="855" ht="24" customHeight="1">
      <x:c r="A855" s="2" t="str">
        <x:v>S11.02</x:v>
      </x:c>
      <x:c r="B855" s="2" t="str">
        <x:v>S11</x:v>
      </x:c>
      <x:c r="C855" s="2" t="str">
        <x:v>qwen_clean</x:v>
      </x:c>
      <x:c r="D855" s="2" t="n">
        <x:v>3</x:v>
      </x:c>
      <x:c r="E855" s="8"/>
      <x:c r="F855" s="8"/>
      <x:c r="G855" s="9"/>
      <x:c r="H855" s="9"/>
      <x:c r="I855" s="8"/>
      <x:c r="J855" s="8"/>
      <x:c r="K855" s="2" t="str">
        <x:f>IF(OR(E855="",F855="",G855="",H855="",I855="",J855=""),"",IF(E855="Harness blocked","BLOCKED",IF(AND(E855="Present",F855="Supplied"),1,IF(OR(E855="Missing",E855="Not reached"),0,"CHECK"))))</x:f>
      </x:c>
      <x:c r="L855" s="2" t="str">
        <x:f>IF(ISNUMBER(K855),IF(AND(K855=1,I855="No"),1,0),K855)</x:f>
      </x:c>
      <x:c r="M855" s="2" t="n">
        <x:f>IF(ISNUMBER(K855),1,0)</x:f>
        <x:v>0</x:v>
      </x:c>
    </x:row>
    <x:row r="856" ht="24" customHeight="1">
      <x:c r="A856" s="2" t="str">
        <x:v>S11.03</x:v>
      </x:c>
      <x:c r="B856" s="2" t="str">
        <x:v>S11</x:v>
      </x:c>
      <x:c r="C856" s="2" t="str">
        <x:v>qwen_clean</x:v>
      </x:c>
      <x:c r="D856" s="2" t="n">
        <x:v>3</x:v>
      </x:c>
      <x:c r="E856" s="8"/>
      <x:c r="F856" s="8"/>
      <x:c r="G856" s="9"/>
      <x:c r="H856" s="9"/>
      <x:c r="I856" s="8"/>
      <x:c r="J856" s="8"/>
      <x:c r="K856" s="2" t="str">
        <x:f>IF(OR(E856="",F856="",G856="",H856="",I856="",J856=""),"",IF(E856="Harness blocked","BLOCKED",IF(AND(E856="Present",F856="Supplied"),1,IF(OR(E856="Missing",E856="Not reached"),0,"CHECK"))))</x:f>
      </x:c>
      <x:c r="L856" s="2" t="str">
        <x:f>IF(ISNUMBER(K856),IF(AND(K856=1,I856="No"),1,0),K856)</x:f>
      </x:c>
      <x:c r="M856" s="2" t="n">
        <x:f>IF(ISNUMBER(K856),1,0)</x:f>
        <x:v>0</x:v>
      </x:c>
    </x:row>
    <x:row r="857" ht="24" customHeight="1">
      <x:c r="A857" s="2" t="str">
        <x:v>S11.04</x:v>
      </x:c>
      <x:c r="B857" s="2" t="str">
        <x:v>S11</x:v>
      </x:c>
      <x:c r="C857" s="2" t="str">
        <x:v>qwen_clean</x:v>
      </x:c>
      <x:c r="D857" s="2" t="n">
        <x:v>3</x:v>
      </x:c>
      <x:c r="E857" s="8"/>
      <x:c r="F857" s="8"/>
      <x:c r="G857" s="9"/>
      <x:c r="H857" s="9"/>
      <x:c r="I857" s="8"/>
      <x:c r="J857" s="8"/>
      <x:c r="K857" s="2" t="str">
        <x:f>IF(OR(E857="",F857="",G857="",H857="",I857="",J857=""),"",IF(E857="Harness blocked","BLOCKED",IF(AND(E857="Present",F857="Supplied"),1,IF(OR(E857="Missing",E857="Not reached"),0,"CHECK"))))</x:f>
      </x:c>
      <x:c r="L857" s="2" t="str">
        <x:f>IF(ISNUMBER(K857),IF(AND(K857=1,I857="No"),1,0),K857)</x:f>
      </x:c>
      <x:c r="M857" s="2" t="n">
        <x:f>IF(ISNUMBER(K857),1,0)</x:f>
        <x:v>0</x:v>
      </x:c>
    </x:row>
    <x:row r="858" ht="24" customHeight="1">
      <x:c r="A858" s="2" t="str">
        <x:v>S11.05</x:v>
      </x:c>
      <x:c r="B858" s="2" t="str">
        <x:v>S11</x:v>
      </x:c>
      <x:c r="C858" s="2" t="str">
        <x:v>qwen_clean</x:v>
      </x:c>
      <x:c r="D858" s="2" t="n">
        <x:v>3</x:v>
      </x:c>
      <x:c r="E858" s="8"/>
      <x:c r="F858" s="8"/>
      <x:c r="G858" s="9"/>
      <x:c r="H858" s="9"/>
      <x:c r="I858" s="8"/>
      <x:c r="J858" s="8"/>
      <x:c r="K858" s="2" t="str">
        <x:f>IF(OR(E858="",F858="",G858="",H858="",I858="",J858=""),"",IF(E858="Harness blocked","BLOCKED",IF(AND(E858="Present",F858="Supplied"),1,IF(OR(E858="Missing",E858="Not reached"),0,"CHECK"))))</x:f>
      </x:c>
      <x:c r="L858" s="2" t="str">
        <x:f>IF(ISNUMBER(K858),IF(AND(K858=1,I858="No"),1,0),K858)</x:f>
      </x:c>
      <x:c r="M858" s="2" t="n">
        <x:f>IF(ISNUMBER(K858),1,0)</x:f>
        <x:v>0</x:v>
      </x:c>
    </x:row>
    <x:row r="859" ht="24" customHeight="1">
      <x:c r="A859" s="2" t="str">
        <x:v>S11.06</x:v>
      </x:c>
      <x:c r="B859" s="2" t="str">
        <x:v>S11</x:v>
      </x:c>
      <x:c r="C859" s="2" t="str">
        <x:v>qwen_clean</x:v>
      </x:c>
      <x:c r="D859" s="2" t="n">
        <x:v>3</x:v>
      </x:c>
      <x:c r="E859" s="8"/>
      <x:c r="F859" s="8"/>
      <x:c r="G859" s="9"/>
      <x:c r="H859" s="9"/>
      <x:c r="I859" s="8"/>
      <x:c r="J859" s="8"/>
      <x:c r="K859" s="2" t="str">
        <x:f>IF(OR(E859="",F859="",G859="",H859="",I859="",J859=""),"",IF(E859="Harness blocked","BLOCKED",IF(AND(E859="Present",F859="Supplied"),1,IF(OR(E859="Missing",E859="Not reached"),0,"CHECK"))))</x:f>
      </x:c>
      <x:c r="L859" s="2" t="str">
        <x:f>IF(ISNUMBER(K859),IF(AND(K859=1,I859="No"),1,0),K859)</x:f>
      </x:c>
      <x:c r="M859" s="2" t="n">
        <x:f>IF(ISNUMBER(K859),1,0)</x:f>
        <x:v>0</x:v>
      </x:c>
    </x:row>
    <x:row r="860" ht="24" customHeight="1">
      <x:c r="A860" s="2" t="str">
        <x:v>S11.07</x:v>
      </x:c>
      <x:c r="B860" s="2" t="str">
        <x:v>S11</x:v>
      </x:c>
      <x:c r="C860" s="2" t="str">
        <x:v>qwen_clean</x:v>
      </x:c>
      <x:c r="D860" s="2" t="n">
        <x:v>3</x:v>
      </x:c>
      <x:c r="E860" s="8"/>
      <x:c r="F860" s="8"/>
      <x:c r="G860" s="9"/>
      <x:c r="H860" s="9"/>
      <x:c r="I860" s="8"/>
      <x:c r="J860" s="8"/>
      <x:c r="K860" s="2" t="str">
        <x:f>IF(OR(E860="",F860="",G860="",H860="",I860="",J860=""),"",IF(E860="Harness blocked","BLOCKED",IF(AND(E860="Present",F860="Supplied"),1,IF(OR(E860="Missing",E860="Not reached"),0,"CHECK"))))</x:f>
      </x:c>
      <x:c r="L860" s="2" t="str">
        <x:f>IF(ISNUMBER(K860),IF(AND(K860=1,I860="No"),1,0),K860)</x:f>
      </x:c>
      <x:c r="M860" s="2" t="n">
        <x:f>IF(ISNUMBER(K860),1,0)</x:f>
        <x:v>0</x:v>
      </x:c>
    </x:row>
    <x:row r="861" ht="24" customHeight="1">
      <x:c r="A861" s="2" t="str">
        <x:v>S11.08</x:v>
      </x:c>
      <x:c r="B861" s="2" t="str">
        <x:v>S11</x:v>
      </x:c>
      <x:c r="C861" s="2" t="str">
        <x:v>qwen_clean</x:v>
      </x:c>
      <x:c r="D861" s="2" t="n">
        <x:v>3</x:v>
      </x:c>
      <x:c r="E861" s="8"/>
      <x:c r="F861" s="8"/>
      <x:c r="G861" s="9"/>
      <x:c r="H861" s="9"/>
      <x:c r="I861" s="8"/>
      <x:c r="J861" s="8"/>
      <x:c r="K861" s="2" t="str">
        <x:f>IF(OR(E861="",F861="",G861="",H861="",I861="",J861=""),"",IF(E861="Harness blocked","BLOCKED",IF(AND(E861="Present",F861="Supplied"),1,IF(OR(E861="Missing",E861="Not reached"),0,"CHECK"))))</x:f>
      </x:c>
      <x:c r="L861" s="2" t="str">
        <x:f>IF(ISNUMBER(K861),IF(AND(K861=1,I861="No"),1,0),K861)</x:f>
      </x:c>
      <x:c r="M861" s="2" t="n">
        <x:f>IF(ISNUMBER(K861),1,0)</x:f>
        <x:v>0</x:v>
      </x:c>
    </x:row>
    <x:row r="862" ht="24" customHeight="1">
      <x:c r="A862" s="2" t="str">
        <x:v>S12.01</x:v>
      </x:c>
      <x:c r="B862" s="2" t="str">
        <x:v>S12</x:v>
      </x:c>
      <x:c r="C862" s="2" t="str">
        <x:v>qwen_clean</x:v>
      </x:c>
      <x:c r="D862" s="2" t="n">
        <x:v>3</x:v>
      </x:c>
      <x:c r="E862" s="8"/>
      <x:c r="F862" s="8"/>
      <x:c r="G862" s="9"/>
      <x:c r="H862" s="9"/>
      <x:c r="I862" s="8"/>
      <x:c r="J862" s="8"/>
      <x:c r="K862" s="2" t="str">
        <x:f>IF(OR(E862="",F862="",G862="",H862="",I862="",J862=""),"",IF(E862="Harness blocked","BLOCKED",IF(AND(E862="Present",F862="Supplied"),1,IF(OR(E862="Missing",E862="Not reached"),0,"CHECK"))))</x:f>
      </x:c>
      <x:c r="L862" s="2" t="str">
        <x:f>IF(ISNUMBER(K862),IF(AND(K862=1,I862="No"),1,0),K862)</x:f>
      </x:c>
      <x:c r="M862" s="2" t="n">
        <x:f>IF(ISNUMBER(K862),1,0)</x:f>
        <x:v>0</x:v>
      </x:c>
    </x:row>
    <x:row r="863" ht="24" customHeight="1">
      <x:c r="A863" s="2" t="str">
        <x:v>S12.02</x:v>
      </x:c>
      <x:c r="B863" s="2" t="str">
        <x:v>S12</x:v>
      </x:c>
      <x:c r="C863" s="2" t="str">
        <x:v>qwen_clean</x:v>
      </x:c>
      <x:c r="D863" s="2" t="n">
        <x:v>3</x:v>
      </x:c>
      <x:c r="E863" s="8"/>
      <x:c r="F863" s="8"/>
      <x:c r="G863" s="9"/>
      <x:c r="H863" s="9"/>
      <x:c r="I863" s="8"/>
      <x:c r="J863" s="8"/>
      <x:c r="K863" s="2" t="str">
        <x:f>IF(OR(E863="",F863="",G863="",H863="",I863="",J863=""),"",IF(E863="Harness blocked","BLOCKED",IF(AND(E863="Present",F863="Supplied"),1,IF(OR(E863="Missing",E863="Not reached"),0,"CHECK"))))</x:f>
      </x:c>
      <x:c r="L863" s="2" t="str">
        <x:f>IF(ISNUMBER(K863),IF(AND(K863=1,I863="No"),1,0),K863)</x:f>
      </x:c>
      <x:c r="M863" s="2" t="n">
        <x:f>IF(ISNUMBER(K863),1,0)</x:f>
        <x:v>0</x:v>
      </x:c>
    </x:row>
    <x:row r="864" ht="24" customHeight="1">
      <x:c r="A864" s="2" t="str">
        <x:v>S12.03</x:v>
      </x:c>
      <x:c r="B864" s="2" t="str">
        <x:v>S12</x:v>
      </x:c>
      <x:c r="C864" s="2" t="str">
        <x:v>qwen_clean</x:v>
      </x:c>
      <x:c r="D864" s="2" t="n">
        <x:v>3</x:v>
      </x:c>
      <x:c r="E864" s="8"/>
      <x:c r="F864" s="8"/>
      <x:c r="G864" s="9"/>
      <x:c r="H864" s="9"/>
      <x:c r="I864" s="8"/>
      <x:c r="J864" s="8"/>
      <x:c r="K864" s="2" t="str">
        <x:f>IF(OR(E864="",F864="",G864="",H864="",I864="",J864=""),"",IF(E864="Harness blocked","BLOCKED",IF(AND(E864="Present",F864="Supplied"),1,IF(OR(E864="Missing",E864="Not reached"),0,"CHECK"))))</x:f>
      </x:c>
      <x:c r="L864" s="2" t="str">
        <x:f>IF(ISNUMBER(K864),IF(AND(K864=1,I864="No"),1,0),K864)</x:f>
      </x:c>
      <x:c r="M864" s="2" t="n">
        <x:f>IF(ISNUMBER(K864),1,0)</x:f>
        <x:v>0</x:v>
      </x:c>
    </x:row>
    <x:row r="865" ht="24" customHeight="1">
      <x:c r="A865" s="2" t="str">
        <x:v>S12.04</x:v>
      </x:c>
      <x:c r="B865" s="2" t="str">
        <x:v>S12</x:v>
      </x:c>
      <x:c r="C865" s="2" t="str">
        <x:v>qwen_clean</x:v>
      </x:c>
      <x:c r="D865" s="2" t="n">
        <x:v>3</x:v>
      </x:c>
      <x:c r="E865" s="8"/>
      <x:c r="F865" s="8"/>
      <x:c r="G865" s="9"/>
      <x:c r="H865" s="9"/>
      <x:c r="I865" s="8"/>
      <x:c r="J865" s="8"/>
      <x:c r="K865" s="2" t="str">
        <x:f>IF(OR(E865="",F865="",G865="",H865="",I865="",J865=""),"",IF(E865="Harness blocked","BLOCKED",IF(AND(E865="Present",F865="Supplied"),1,IF(OR(E865="Missing",E865="Not reached"),0,"CHECK"))))</x:f>
      </x:c>
      <x:c r="L865" s="2" t="str">
        <x:f>IF(ISNUMBER(K865),IF(AND(K865=1,I865="No"),1,0),K865)</x:f>
      </x:c>
      <x:c r="M865" s="2" t="n">
        <x:f>IF(ISNUMBER(K865),1,0)</x:f>
        <x:v>0</x:v>
      </x:c>
    </x:row>
    <x:row r="866" ht="24" customHeight="1">
      <x:c r="A866" s="2" t="str">
        <x:v>S12.05</x:v>
      </x:c>
      <x:c r="B866" s="2" t="str">
        <x:v>S12</x:v>
      </x:c>
      <x:c r="C866" s="2" t="str">
        <x:v>qwen_clean</x:v>
      </x:c>
      <x:c r="D866" s="2" t="n">
        <x:v>3</x:v>
      </x:c>
      <x:c r="E866" s="8"/>
      <x:c r="F866" s="8"/>
      <x:c r="G866" s="9"/>
      <x:c r="H866" s="9"/>
      <x:c r="I866" s="8"/>
      <x:c r="J866" s="8"/>
      <x:c r="K866" s="2" t="str">
        <x:f>IF(OR(E866="",F866="",G866="",H866="",I866="",J866=""),"",IF(E866="Harness blocked","BLOCKED",IF(AND(E866="Present",F866="Supplied"),1,IF(OR(E866="Missing",E866="Not reached"),0,"CHECK"))))</x:f>
      </x:c>
      <x:c r="L866" s="2" t="str">
        <x:f>IF(ISNUMBER(K866),IF(AND(K866=1,I866="No"),1,0),K866)</x:f>
      </x:c>
      <x:c r="M866" s="2" t="n">
        <x:f>IF(ISNUMBER(K866),1,0)</x:f>
        <x:v>0</x:v>
      </x:c>
    </x:row>
    <x:row r="867" ht="24" customHeight="1">
      <x:c r="A867" s="2" t="str">
        <x:v>S12.06</x:v>
      </x:c>
      <x:c r="B867" s="2" t="str">
        <x:v>S12</x:v>
      </x:c>
      <x:c r="C867" s="2" t="str">
        <x:v>qwen_clean</x:v>
      </x:c>
      <x:c r="D867" s="2" t="n">
        <x:v>3</x:v>
      </x:c>
      <x:c r="E867" s="8"/>
      <x:c r="F867" s="8"/>
      <x:c r="G867" s="9"/>
      <x:c r="H867" s="9"/>
      <x:c r="I867" s="8"/>
      <x:c r="J867" s="8"/>
      <x:c r="K867" s="2" t="str">
        <x:f>IF(OR(E867="",F867="",G867="",H867="",I867="",J867=""),"",IF(E867="Harness blocked","BLOCKED",IF(AND(E867="Present",F867="Supplied"),1,IF(OR(E867="Missing",E867="Not reached"),0,"CHECK"))))</x:f>
      </x:c>
      <x:c r="L867" s="2" t="str">
        <x:f>IF(ISNUMBER(K867),IF(AND(K867=1,I867="No"),1,0),K867)</x:f>
      </x:c>
      <x:c r="M867" s="2" t="n">
        <x:f>IF(ISNUMBER(K867),1,0)</x:f>
        <x:v>0</x:v>
      </x:c>
    </x:row>
    <x:row r="868" ht="24" customHeight="1">
      <x:c r="A868" s="2" t="str">
        <x:v>S12.07</x:v>
      </x:c>
      <x:c r="B868" s="2" t="str">
        <x:v>S12</x:v>
      </x:c>
      <x:c r="C868" s="2" t="str">
        <x:v>qwen_clean</x:v>
      </x:c>
      <x:c r="D868" s="2" t="n">
        <x:v>3</x:v>
      </x:c>
      <x:c r="E868" s="8"/>
      <x:c r="F868" s="8"/>
      <x:c r="G868" s="9"/>
      <x:c r="H868" s="9"/>
      <x:c r="I868" s="8"/>
      <x:c r="J868" s="8"/>
      <x:c r="K868" s="2" t="str">
        <x:f>IF(OR(E868="",F868="",G868="",H868="",I868="",J868=""),"",IF(E868="Harness blocked","BLOCKED",IF(AND(E868="Present",F868="Supplied"),1,IF(OR(E868="Missing",E868="Not reached"),0,"CHECK"))))</x:f>
      </x:c>
      <x:c r="L868" s="2" t="str">
        <x:f>IF(ISNUMBER(K868),IF(AND(K868=1,I868="No"),1,0),K868)</x:f>
      </x:c>
      <x:c r="M868" s="2" t="n">
        <x:f>IF(ISNUMBER(K868),1,0)</x:f>
        <x:v>0</x:v>
      </x:c>
    </x:row>
    <x:row r="869" ht="24" customHeight="1">
      <x:c r="A869" s="2" t="str">
        <x:v>S12.08</x:v>
      </x:c>
      <x:c r="B869" s="2" t="str">
        <x:v>S12</x:v>
      </x:c>
      <x:c r="C869" s="2" t="str">
        <x:v>qwen_clean</x:v>
      </x:c>
      <x:c r="D869" s="2" t="n">
        <x:v>3</x:v>
      </x:c>
      <x:c r="E869" s="8"/>
      <x:c r="F869" s="8"/>
      <x:c r="G869" s="9"/>
      <x:c r="H869" s="9"/>
      <x:c r="I869" s="8"/>
      <x:c r="J869" s="8"/>
      <x:c r="K869" s="2" t="str">
        <x:f>IF(OR(E869="",F869="",G869="",H869="",I869="",J869=""),"",IF(E869="Harness blocked","BLOCKED",IF(AND(E869="Present",F869="Supplied"),1,IF(OR(E869="Missing",E869="Not reached"),0,"CHECK"))))</x:f>
      </x:c>
      <x:c r="L869" s="2" t="str">
        <x:f>IF(ISNUMBER(K869),IF(AND(K869=1,I869="No"),1,0),K869)</x:f>
      </x:c>
      <x:c r="M869" s="2" t="n">
        <x:f>IF(ISNUMBER(K869),1,0)</x:f>
        <x:v>0</x:v>
      </x:c>
    </x:row>
    <x:row r="870" ht="24" customHeight="1">
      <x:c r="A870" s="2" t="str">
        <x:v>S01.01</x:v>
      </x:c>
      <x:c r="B870" s="2" t="str">
        <x:v>S01</x:v>
      </x:c>
      <x:c r="C870" s="2" t="str">
        <x:v>qwen_connected</x:v>
      </x:c>
      <x:c r="D870" s="2" t="n">
        <x:v>1</x:v>
      </x:c>
      <x:c r="E870" s="8"/>
      <x:c r="F870" s="8"/>
      <x:c r="G870" s="9"/>
      <x:c r="H870" s="9"/>
      <x:c r="I870" s="8"/>
      <x:c r="J870" s="8"/>
      <x:c r="K870" s="2" t="str">
        <x:f>IF(OR(E870="",F870="",G870="",H870="",I870="",J870=""),"",IF(E870="Harness blocked","BLOCKED",IF(AND(E870="Present",F870="Supplied"),1,IF(OR(E870="Missing",E870="Not reached"),0,"CHECK"))))</x:f>
      </x:c>
      <x:c r="L870" s="2" t="str">
        <x:f>IF(ISNUMBER(K870),IF(AND(K870=1,I870="No"),1,0),K870)</x:f>
      </x:c>
      <x:c r="M870" s="2" t="n">
        <x:f>IF(ISNUMBER(K870),1,0)</x:f>
        <x:v>0</x:v>
      </x:c>
    </x:row>
    <x:row r="871" ht="24" customHeight="1">
      <x:c r="A871" s="2" t="str">
        <x:v>S01.02</x:v>
      </x:c>
      <x:c r="B871" s="2" t="str">
        <x:v>S01</x:v>
      </x:c>
      <x:c r="C871" s="2" t="str">
        <x:v>qwen_connected</x:v>
      </x:c>
      <x:c r="D871" s="2" t="n">
        <x:v>1</x:v>
      </x:c>
      <x:c r="E871" s="8"/>
      <x:c r="F871" s="8"/>
      <x:c r="G871" s="9"/>
      <x:c r="H871" s="9"/>
      <x:c r="I871" s="8"/>
      <x:c r="J871" s="8"/>
      <x:c r="K871" s="2" t="str">
        <x:f>IF(OR(E871="",F871="",G871="",H871="",I871="",J871=""),"",IF(E871="Harness blocked","BLOCKED",IF(AND(E871="Present",F871="Supplied"),1,IF(OR(E871="Missing",E871="Not reached"),0,"CHECK"))))</x:f>
      </x:c>
      <x:c r="L871" s="2" t="str">
        <x:f>IF(ISNUMBER(K871),IF(AND(K871=1,I871="No"),1,0),K871)</x:f>
      </x:c>
      <x:c r="M871" s="2" t="n">
        <x:f>IF(ISNUMBER(K871),1,0)</x:f>
        <x:v>0</x:v>
      </x:c>
    </x:row>
    <x:row r="872" ht="24" customHeight="1">
      <x:c r="A872" s="2" t="str">
        <x:v>S01.03</x:v>
      </x:c>
      <x:c r="B872" s="2" t="str">
        <x:v>S01</x:v>
      </x:c>
      <x:c r="C872" s="2" t="str">
        <x:v>qwen_connected</x:v>
      </x:c>
      <x:c r="D872" s="2" t="n">
        <x:v>1</x:v>
      </x:c>
      <x:c r="E872" s="8"/>
      <x:c r="F872" s="8"/>
      <x:c r="G872" s="9"/>
      <x:c r="H872" s="9"/>
      <x:c r="I872" s="8"/>
      <x:c r="J872" s="8"/>
      <x:c r="K872" s="2" t="str">
        <x:f>IF(OR(E872="",F872="",G872="",H872="",I872="",J872=""),"",IF(E872="Harness blocked","BLOCKED",IF(AND(E872="Present",F872="Supplied"),1,IF(OR(E872="Missing",E872="Not reached"),0,"CHECK"))))</x:f>
      </x:c>
      <x:c r="L872" s="2" t="str">
        <x:f>IF(ISNUMBER(K872),IF(AND(K872=1,I872="No"),1,0),K872)</x:f>
      </x:c>
      <x:c r="M872" s="2" t="n">
        <x:f>IF(ISNUMBER(K872),1,0)</x:f>
        <x:v>0</x:v>
      </x:c>
    </x:row>
    <x:row r="873" ht="24" customHeight="1">
      <x:c r="A873" s="2" t="str">
        <x:v>S01.04</x:v>
      </x:c>
      <x:c r="B873" s="2" t="str">
        <x:v>S01</x:v>
      </x:c>
      <x:c r="C873" s="2" t="str">
        <x:v>qwen_connected</x:v>
      </x:c>
      <x:c r="D873" s="2" t="n">
        <x:v>1</x:v>
      </x:c>
      <x:c r="E873" s="8"/>
      <x:c r="F873" s="8"/>
      <x:c r="G873" s="9"/>
      <x:c r="H873" s="9"/>
      <x:c r="I873" s="8"/>
      <x:c r="J873" s="8"/>
      <x:c r="K873" s="2" t="str">
        <x:f>IF(OR(E873="",F873="",G873="",H873="",I873="",J873=""),"",IF(E873="Harness blocked","BLOCKED",IF(AND(E873="Present",F873="Supplied"),1,IF(OR(E873="Missing",E873="Not reached"),0,"CHECK"))))</x:f>
      </x:c>
      <x:c r="L873" s="2" t="str">
        <x:f>IF(ISNUMBER(K873),IF(AND(K873=1,I873="No"),1,0),K873)</x:f>
      </x:c>
      <x:c r="M873" s="2" t="n">
        <x:f>IF(ISNUMBER(K873),1,0)</x:f>
        <x:v>0</x:v>
      </x:c>
    </x:row>
    <x:row r="874" ht="24" customHeight="1">
      <x:c r="A874" s="2" t="str">
        <x:v>S01.05</x:v>
      </x:c>
      <x:c r="B874" s="2" t="str">
        <x:v>S01</x:v>
      </x:c>
      <x:c r="C874" s="2" t="str">
        <x:v>qwen_connected</x:v>
      </x:c>
      <x:c r="D874" s="2" t="n">
        <x:v>1</x:v>
      </x:c>
      <x:c r="E874" s="8"/>
      <x:c r="F874" s="8"/>
      <x:c r="G874" s="9"/>
      <x:c r="H874" s="9"/>
      <x:c r="I874" s="8"/>
      <x:c r="J874" s="8"/>
      <x:c r="K874" s="2" t="str">
        <x:f>IF(OR(E874="",F874="",G874="",H874="",I874="",J874=""),"",IF(E874="Harness blocked","BLOCKED",IF(AND(E874="Present",F874="Supplied"),1,IF(OR(E874="Missing",E874="Not reached"),0,"CHECK"))))</x:f>
      </x:c>
      <x:c r="L874" s="2" t="str">
        <x:f>IF(ISNUMBER(K874),IF(AND(K874=1,I874="No"),1,0),K874)</x:f>
      </x:c>
      <x:c r="M874" s="2" t="n">
        <x:f>IF(ISNUMBER(K874),1,0)</x:f>
        <x:v>0</x:v>
      </x:c>
    </x:row>
    <x:row r="875" ht="24" customHeight="1">
      <x:c r="A875" s="2" t="str">
        <x:v>S01.06</x:v>
      </x:c>
      <x:c r="B875" s="2" t="str">
        <x:v>S01</x:v>
      </x:c>
      <x:c r="C875" s="2" t="str">
        <x:v>qwen_connected</x:v>
      </x:c>
      <x:c r="D875" s="2" t="n">
        <x:v>1</x:v>
      </x:c>
      <x:c r="E875" s="8"/>
      <x:c r="F875" s="8"/>
      <x:c r="G875" s="9"/>
      <x:c r="H875" s="9"/>
      <x:c r="I875" s="8"/>
      <x:c r="J875" s="8"/>
      <x:c r="K875" s="2" t="str">
        <x:f>IF(OR(E875="",F875="",G875="",H875="",I875="",J875=""),"",IF(E875="Harness blocked","BLOCKED",IF(AND(E875="Present",F875="Supplied"),1,IF(OR(E875="Missing",E875="Not reached"),0,"CHECK"))))</x:f>
      </x:c>
      <x:c r="L875" s="2" t="str">
        <x:f>IF(ISNUMBER(K875),IF(AND(K875=1,I875="No"),1,0),K875)</x:f>
      </x:c>
      <x:c r="M875" s="2" t="n">
        <x:f>IF(ISNUMBER(K875),1,0)</x:f>
        <x:v>0</x:v>
      </x:c>
    </x:row>
    <x:row r="876" ht="24" customHeight="1">
      <x:c r="A876" s="2" t="str">
        <x:v>S01.07</x:v>
      </x:c>
      <x:c r="B876" s="2" t="str">
        <x:v>S01</x:v>
      </x:c>
      <x:c r="C876" s="2" t="str">
        <x:v>qwen_connected</x:v>
      </x:c>
      <x:c r="D876" s="2" t="n">
        <x:v>1</x:v>
      </x:c>
      <x:c r="E876" s="8"/>
      <x:c r="F876" s="8"/>
      <x:c r="G876" s="9"/>
      <x:c r="H876" s="9"/>
      <x:c r="I876" s="8"/>
      <x:c r="J876" s="8"/>
      <x:c r="K876" s="2" t="str">
        <x:f>IF(OR(E876="",F876="",G876="",H876="",I876="",J876=""),"",IF(E876="Harness blocked","BLOCKED",IF(AND(E876="Present",F876="Supplied"),1,IF(OR(E876="Missing",E876="Not reached"),0,"CHECK"))))</x:f>
      </x:c>
      <x:c r="L876" s="2" t="str">
        <x:f>IF(ISNUMBER(K876),IF(AND(K876=1,I876="No"),1,0),K876)</x:f>
      </x:c>
      <x:c r="M876" s="2" t="n">
        <x:f>IF(ISNUMBER(K876),1,0)</x:f>
        <x:v>0</x:v>
      </x:c>
    </x:row>
    <x:row r="877" ht="24" customHeight="1">
      <x:c r="A877" s="2" t="str">
        <x:v>S01.08</x:v>
      </x:c>
      <x:c r="B877" s="2" t="str">
        <x:v>S01</x:v>
      </x:c>
      <x:c r="C877" s="2" t="str">
        <x:v>qwen_connected</x:v>
      </x:c>
      <x:c r="D877" s="2" t="n">
        <x:v>1</x:v>
      </x:c>
      <x:c r="E877" s="8"/>
      <x:c r="F877" s="8"/>
      <x:c r="G877" s="9"/>
      <x:c r="H877" s="9"/>
      <x:c r="I877" s="8"/>
      <x:c r="J877" s="8"/>
      <x:c r="K877" s="2" t="str">
        <x:f>IF(OR(E877="",F877="",G877="",H877="",I877="",J877=""),"",IF(E877="Harness blocked","BLOCKED",IF(AND(E877="Present",F877="Supplied"),1,IF(OR(E877="Missing",E877="Not reached"),0,"CHECK"))))</x:f>
      </x:c>
      <x:c r="L877" s="2" t="str">
        <x:f>IF(ISNUMBER(K877),IF(AND(K877=1,I877="No"),1,0),K877)</x:f>
      </x:c>
      <x:c r="M877" s="2" t="n">
        <x:f>IF(ISNUMBER(K877),1,0)</x:f>
        <x:v>0</x:v>
      </x:c>
    </x:row>
    <x:row r="878" ht="24" customHeight="1">
      <x:c r="A878" s="2" t="str">
        <x:v>S02.01</x:v>
      </x:c>
      <x:c r="B878" s="2" t="str">
        <x:v>S02</x:v>
      </x:c>
      <x:c r="C878" s="2" t="str">
        <x:v>qwen_connected</x:v>
      </x:c>
      <x:c r="D878" s="2" t="n">
        <x:v>1</x:v>
      </x:c>
      <x:c r="E878" s="8"/>
      <x:c r="F878" s="8"/>
      <x:c r="G878" s="9"/>
      <x:c r="H878" s="9"/>
      <x:c r="I878" s="8"/>
      <x:c r="J878" s="8"/>
      <x:c r="K878" s="2" t="str">
        <x:f>IF(OR(E878="",F878="",G878="",H878="",I878="",J878=""),"",IF(E878="Harness blocked","BLOCKED",IF(AND(E878="Present",F878="Supplied"),1,IF(OR(E878="Missing",E878="Not reached"),0,"CHECK"))))</x:f>
      </x:c>
      <x:c r="L878" s="2" t="str">
        <x:f>IF(ISNUMBER(K878),IF(AND(K878=1,I878="No"),1,0),K878)</x:f>
      </x:c>
      <x:c r="M878" s="2" t="n">
        <x:f>IF(ISNUMBER(K878),1,0)</x:f>
        <x:v>0</x:v>
      </x:c>
    </x:row>
    <x:row r="879" ht="24" customHeight="1">
      <x:c r="A879" s="2" t="str">
        <x:v>S02.02</x:v>
      </x:c>
      <x:c r="B879" s="2" t="str">
        <x:v>S02</x:v>
      </x:c>
      <x:c r="C879" s="2" t="str">
        <x:v>qwen_connected</x:v>
      </x:c>
      <x:c r="D879" s="2" t="n">
        <x:v>1</x:v>
      </x:c>
      <x:c r="E879" s="8"/>
      <x:c r="F879" s="8"/>
      <x:c r="G879" s="9"/>
      <x:c r="H879" s="9"/>
      <x:c r="I879" s="8"/>
      <x:c r="J879" s="8"/>
      <x:c r="K879" s="2" t="str">
        <x:f>IF(OR(E879="",F879="",G879="",H879="",I879="",J879=""),"",IF(E879="Harness blocked","BLOCKED",IF(AND(E879="Present",F879="Supplied"),1,IF(OR(E879="Missing",E879="Not reached"),0,"CHECK"))))</x:f>
      </x:c>
      <x:c r="L879" s="2" t="str">
        <x:f>IF(ISNUMBER(K879),IF(AND(K879=1,I879="No"),1,0),K879)</x:f>
      </x:c>
      <x:c r="M879" s="2" t="n">
        <x:f>IF(ISNUMBER(K879),1,0)</x:f>
        <x:v>0</x:v>
      </x:c>
    </x:row>
    <x:row r="880" ht="24" customHeight="1">
      <x:c r="A880" s="2" t="str">
        <x:v>S02.03</x:v>
      </x:c>
      <x:c r="B880" s="2" t="str">
        <x:v>S02</x:v>
      </x:c>
      <x:c r="C880" s="2" t="str">
        <x:v>qwen_connected</x:v>
      </x:c>
      <x:c r="D880" s="2" t="n">
        <x:v>1</x:v>
      </x:c>
      <x:c r="E880" s="8"/>
      <x:c r="F880" s="8"/>
      <x:c r="G880" s="9"/>
      <x:c r="H880" s="9"/>
      <x:c r="I880" s="8"/>
      <x:c r="J880" s="8"/>
      <x:c r="K880" s="2" t="str">
        <x:f>IF(OR(E880="",F880="",G880="",H880="",I880="",J880=""),"",IF(E880="Harness blocked","BLOCKED",IF(AND(E880="Present",F880="Supplied"),1,IF(OR(E880="Missing",E880="Not reached"),0,"CHECK"))))</x:f>
      </x:c>
      <x:c r="L880" s="2" t="str">
        <x:f>IF(ISNUMBER(K880),IF(AND(K880=1,I880="No"),1,0),K880)</x:f>
      </x:c>
      <x:c r="M880" s="2" t="n">
        <x:f>IF(ISNUMBER(K880),1,0)</x:f>
        <x:v>0</x:v>
      </x:c>
    </x:row>
    <x:row r="881" ht="24" customHeight="1">
      <x:c r="A881" s="2" t="str">
        <x:v>S02.04</x:v>
      </x:c>
      <x:c r="B881" s="2" t="str">
        <x:v>S02</x:v>
      </x:c>
      <x:c r="C881" s="2" t="str">
        <x:v>qwen_connected</x:v>
      </x:c>
      <x:c r="D881" s="2" t="n">
        <x:v>1</x:v>
      </x:c>
      <x:c r="E881" s="8"/>
      <x:c r="F881" s="8"/>
      <x:c r="G881" s="9"/>
      <x:c r="H881" s="9"/>
      <x:c r="I881" s="8"/>
      <x:c r="J881" s="8"/>
      <x:c r="K881" s="2" t="str">
        <x:f>IF(OR(E881="",F881="",G881="",H881="",I881="",J881=""),"",IF(E881="Harness blocked","BLOCKED",IF(AND(E881="Present",F881="Supplied"),1,IF(OR(E881="Missing",E881="Not reached"),0,"CHECK"))))</x:f>
      </x:c>
      <x:c r="L881" s="2" t="str">
        <x:f>IF(ISNUMBER(K881),IF(AND(K881=1,I881="No"),1,0),K881)</x:f>
      </x:c>
      <x:c r="M881" s="2" t="n">
        <x:f>IF(ISNUMBER(K881),1,0)</x:f>
        <x:v>0</x:v>
      </x:c>
    </x:row>
    <x:row r="882" ht="24" customHeight="1">
      <x:c r="A882" s="2" t="str">
        <x:v>S02.05</x:v>
      </x:c>
      <x:c r="B882" s="2" t="str">
        <x:v>S02</x:v>
      </x:c>
      <x:c r="C882" s="2" t="str">
        <x:v>qwen_connected</x:v>
      </x:c>
      <x:c r="D882" s="2" t="n">
        <x:v>1</x:v>
      </x:c>
      <x:c r="E882" s="8"/>
      <x:c r="F882" s="8"/>
      <x:c r="G882" s="9"/>
      <x:c r="H882" s="9"/>
      <x:c r="I882" s="8"/>
      <x:c r="J882" s="8"/>
      <x:c r="K882" s="2" t="str">
        <x:f>IF(OR(E882="",F882="",G882="",H882="",I882="",J882=""),"",IF(E882="Harness blocked","BLOCKED",IF(AND(E882="Present",F882="Supplied"),1,IF(OR(E882="Missing",E882="Not reached"),0,"CHECK"))))</x:f>
      </x:c>
      <x:c r="L882" s="2" t="str">
        <x:f>IF(ISNUMBER(K882),IF(AND(K882=1,I882="No"),1,0),K882)</x:f>
      </x:c>
      <x:c r="M882" s="2" t="n">
        <x:f>IF(ISNUMBER(K882),1,0)</x:f>
        <x:v>0</x:v>
      </x:c>
    </x:row>
    <x:row r="883" ht="24" customHeight="1">
      <x:c r="A883" s="2" t="str">
        <x:v>S02.06</x:v>
      </x:c>
      <x:c r="B883" s="2" t="str">
        <x:v>S02</x:v>
      </x:c>
      <x:c r="C883" s="2" t="str">
        <x:v>qwen_connected</x:v>
      </x:c>
      <x:c r="D883" s="2" t="n">
        <x:v>1</x:v>
      </x:c>
      <x:c r="E883" s="8"/>
      <x:c r="F883" s="8"/>
      <x:c r="G883" s="9"/>
      <x:c r="H883" s="9"/>
      <x:c r="I883" s="8"/>
      <x:c r="J883" s="8"/>
      <x:c r="K883" s="2" t="str">
        <x:f>IF(OR(E883="",F883="",G883="",H883="",I883="",J883=""),"",IF(E883="Harness blocked","BLOCKED",IF(AND(E883="Present",F883="Supplied"),1,IF(OR(E883="Missing",E883="Not reached"),0,"CHECK"))))</x:f>
      </x:c>
      <x:c r="L883" s="2" t="str">
        <x:f>IF(ISNUMBER(K883),IF(AND(K883=1,I883="No"),1,0),K883)</x:f>
      </x:c>
      <x:c r="M883" s="2" t="n">
        <x:f>IF(ISNUMBER(K883),1,0)</x:f>
        <x:v>0</x:v>
      </x:c>
    </x:row>
    <x:row r="884" ht="24" customHeight="1">
      <x:c r="A884" s="2" t="str">
        <x:v>S02.07</x:v>
      </x:c>
      <x:c r="B884" s="2" t="str">
        <x:v>S02</x:v>
      </x:c>
      <x:c r="C884" s="2" t="str">
        <x:v>qwen_connected</x:v>
      </x:c>
      <x:c r="D884" s="2" t="n">
        <x:v>1</x:v>
      </x:c>
      <x:c r="E884" s="8"/>
      <x:c r="F884" s="8"/>
      <x:c r="G884" s="9"/>
      <x:c r="H884" s="9"/>
      <x:c r="I884" s="8"/>
      <x:c r="J884" s="8"/>
      <x:c r="K884" s="2" t="str">
        <x:f>IF(OR(E884="",F884="",G884="",H884="",I884="",J884=""),"",IF(E884="Harness blocked","BLOCKED",IF(AND(E884="Present",F884="Supplied"),1,IF(OR(E884="Missing",E884="Not reached"),0,"CHECK"))))</x:f>
      </x:c>
      <x:c r="L884" s="2" t="str">
        <x:f>IF(ISNUMBER(K884),IF(AND(K884=1,I884="No"),1,0),K884)</x:f>
      </x:c>
      <x:c r="M884" s="2" t="n">
        <x:f>IF(ISNUMBER(K884),1,0)</x:f>
        <x:v>0</x:v>
      </x:c>
    </x:row>
    <x:row r="885" ht="24" customHeight="1">
      <x:c r="A885" s="2" t="str">
        <x:v>S02.08</x:v>
      </x:c>
      <x:c r="B885" s="2" t="str">
        <x:v>S02</x:v>
      </x:c>
      <x:c r="C885" s="2" t="str">
        <x:v>qwen_connected</x:v>
      </x:c>
      <x:c r="D885" s="2" t="n">
        <x:v>1</x:v>
      </x:c>
      <x:c r="E885" s="8"/>
      <x:c r="F885" s="8"/>
      <x:c r="G885" s="9"/>
      <x:c r="H885" s="9"/>
      <x:c r="I885" s="8"/>
      <x:c r="J885" s="8"/>
      <x:c r="K885" s="2" t="str">
        <x:f>IF(OR(E885="",F885="",G885="",H885="",I885="",J885=""),"",IF(E885="Harness blocked","BLOCKED",IF(AND(E885="Present",F885="Supplied"),1,IF(OR(E885="Missing",E885="Not reached"),0,"CHECK"))))</x:f>
      </x:c>
      <x:c r="L885" s="2" t="str">
        <x:f>IF(ISNUMBER(K885),IF(AND(K885=1,I885="No"),1,0),K885)</x:f>
      </x:c>
      <x:c r="M885" s="2" t="n">
        <x:f>IF(ISNUMBER(K885),1,0)</x:f>
        <x:v>0</x:v>
      </x:c>
    </x:row>
    <x:row r="886" ht="24" customHeight="1">
      <x:c r="A886" s="2" t="str">
        <x:v>S03.01</x:v>
      </x:c>
      <x:c r="B886" s="2" t="str">
        <x:v>S03</x:v>
      </x:c>
      <x:c r="C886" s="2" t="str">
        <x:v>qwen_connected</x:v>
      </x:c>
      <x:c r="D886" s="2" t="n">
        <x:v>1</x:v>
      </x:c>
      <x:c r="E886" s="8"/>
      <x:c r="F886" s="8"/>
      <x:c r="G886" s="9"/>
      <x:c r="H886" s="9"/>
      <x:c r="I886" s="8"/>
      <x:c r="J886" s="8"/>
      <x:c r="K886" s="2" t="str">
        <x:f>IF(OR(E886="",F886="",G886="",H886="",I886="",J886=""),"",IF(E886="Harness blocked","BLOCKED",IF(AND(E886="Present",F886="Supplied"),1,IF(OR(E886="Missing",E886="Not reached"),0,"CHECK"))))</x:f>
      </x:c>
      <x:c r="L886" s="2" t="str">
        <x:f>IF(ISNUMBER(K886),IF(AND(K886=1,I886="No"),1,0),K886)</x:f>
      </x:c>
      <x:c r="M886" s="2" t="n">
        <x:f>IF(ISNUMBER(K886),1,0)</x:f>
        <x:v>0</x:v>
      </x:c>
    </x:row>
    <x:row r="887" ht="24" customHeight="1">
      <x:c r="A887" s="2" t="str">
        <x:v>S03.02</x:v>
      </x:c>
      <x:c r="B887" s="2" t="str">
        <x:v>S03</x:v>
      </x:c>
      <x:c r="C887" s="2" t="str">
        <x:v>qwen_connected</x:v>
      </x:c>
      <x:c r="D887" s="2" t="n">
        <x:v>1</x:v>
      </x:c>
      <x:c r="E887" s="8"/>
      <x:c r="F887" s="8"/>
      <x:c r="G887" s="9"/>
      <x:c r="H887" s="9"/>
      <x:c r="I887" s="8"/>
      <x:c r="J887" s="8"/>
      <x:c r="K887" s="2" t="str">
        <x:f>IF(OR(E887="",F887="",G887="",H887="",I887="",J887=""),"",IF(E887="Harness blocked","BLOCKED",IF(AND(E887="Present",F887="Supplied"),1,IF(OR(E887="Missing",E887="Not reached"),0,"CHECK"))))</x:f>
      </x:c>
      <x:c r="L887" s="2" t="str">
        <x:f>IF(ISNUMBER(K887),IF(AND(K887=1,I887="No"),1,0),K887)</x:f>
      </x:c>
      <x:c r="M887" s="2" t="n">
        <x:f>IF(ISNUMBER(K887),1,0)</x:f>
        <x:v>0</x:v>
      </x:c>
    </x:row>
    <x:row r="888" ht="24" customHeight="1">
      <x:c r="A888" s="2" t="str">
        <x:v>S03.03</x:v>
      </x:c>
      <x:c r="B888" s="2" t="str">
        <x:v>S03</x:v>
      </x:c>
      <x:c r="C888" s="2" t="str">
        <x:v>qwen_connected</x:v>
      </x:c>
      <x:c r="D888" s="2" t="n">
        <x:v>1</x:v>
      </x:c>
      <x:c r="E888" s="8"/>
      <x:c r="F888" s="8"/>
      <x:c r="G888" s="9"/>
      <x:c r="H888" s="9"/>
      <x:c r="I888" s="8"/>
      <x:c r="J888" s="8"/>
      <x:c r="K888" s="2" t="str">
        <x:f>IF(OR(E888="",F888="",G888="",H888="",I888="",J888=""),"",IF(E888="Harness blocked","BLOCKED",IF(AND(E888="Present",F888="Supplied"),1,IF(OR(E888="Missing",E888="Not reached"),0,"CHECK"))))</x:f>
      </x:c>
      <x:c r="L888" s="2" t="str">
        <x:f>IF(ISNUMBER(K888),IF(AND(K888=1,I888="No"),1,0),K888)</x:f>
      </x:c>
      <x:c r="M888" s="2" t="n">
        <x:f>IF(ISNUMBER(K888),1,0)</x:f>
        <x:v>0</x:v>
      </x:c>
    </x:row>
    <x:row r="889" ht="24" customHeight="1">
      <x:c r="A889" s="2" t="str">
        <x:v>S03.04</x:v>
      </x:c>
      <x:c r="B889" s="2" t="str">
        <x:v>S03</x:v>
      </x:c>
      <x:c r="C889" s="2" t="str">
        <x:v>qwen_connected</x:v>
      </x:c>
      <x:c r="D889" s="2" t="n">
        <x:v>1</x:v>
      </x:c>
      <x:c r="E889" s="8"/>
      <x:c r="F889" s="8"/>
      <x:c r="G889" s="9"/>
      <x:c r="H889" s="9"/>
      <x:c r="I889" s="8"/>
      <x:c r="J889" s="8"/>
      <x:c r="K889" s="2" t="str">
        <x:f>IF(OR(E889="",F889="",G889="",H889="",I889="",J889=""),"",IF(E889="Harness blocked","BLOCKED",IF(AND(E889="Present",F889="Supplied"),1,IF(OR(E889="Missing",E889="Not reached"),0,"CHECK"))))</x:f>
      </x:c>
      <x:c r="L889" s="2" t="str">
        <x:f>IF(ISNUMBER(K889),IF(AND(K889=1,I889="No"),1,0),K889)</x:f>
      </x:c>
      <x:c r="M889" s="2" t="n">
        <x:f>IF(ISNUMBER(K889),1,0)</x:f>
        <x:v>0</x:v>
      </x:c>
    </x:row>
    <x:row r="890" ht="24" customHeight="1">
      <x:c r="A890" s="2" t="str">
        <x:v>S03.05</x:v>
      </x:c>
      <x:c r="B890" s="2" t="str">
        <x:v>S03</x:v>
      </x:c>
      <x:c r="C890" s="2" t="str">
        <x:v>qwen_connected</x:v>
      </x:c>
      <x:c r="D890" s="2" t="n">
        <x:v>1</x:v>
      </x:c>
      <x:c r="E890" s="8"/>
      <x:c r="F890" s="8"/>
      <x:c r="G890" s="9"/>
      <x:c r="H890" s="9"/>
      <x:c r="I890" s="8"/>
      <x:c r="J890" s="8"/>
      <x:c r="K890" s="2" t="str">
        <x:f>IF(OR(E890="",F890="",G890="",H890="",I890="",J890=""),"",IF(E890="Harness blocked","BLOCKED",IF(AND(E890="Present",F890="Supplied"),1,IF(OR(E890="Missing",E890="Not reached"),0,"CHECK"))))</x:f>
      </x:c>
      <x:c r="L890" s="2" t="str">
        <x:f>IF(ISNUMBER(K890),IF(AND(K890=1,I890="No"),1,0),K890)</x:f>
      </x:c>
      <x:c r="M890" s="2" t="n">
        <x:f>IF(ISNUMBER(K890),1,0)</x:f>
        <x:v>0</x:v>
      </x:c>
    </x:row>
    <x:row r="891" ht="24" customHeight="1">
      <x:c r="A891" s="2" t="str">
        <x:v>S03.06</x:v>
      </x:c>
      <x:c r="B891" s="2" t="str">
        <x:v>S03</x:v>
      </x:c>
      <x:c r="C891" s="2" t="str">
        <x:v>qwen_connected</x:v>
      </x:c>
      <x:c r="D891" s="2" t="n">
        <x:v>1</x:v>
      </x:c>
      <x:c r="E891" s="8"/>
      <x:c r="F891" s="8"/>
      <x:c r="G891" s="9"/>
      <x:c r="H891" s="9"/>
      <x:c r="I891" s="8"/>
      <x:c r="J891" s="8"/>
      <x:c r="K891" s="2" t="str">
        <x:f>IF(OR(E891="",F891="",G891="",H891="",I891="",J891=""),"",IF(E891="Harness blocked","BLOCKED",IF(AND(E891="Present",F891="Supplied"),1,IF(OR(E891="Missing",E891="Not reached"),0,"CHECK"))))</x:f>
      </x:c>
      <x:c r="L891" s="2" t="str">
        <x:f>IF(ISNUMBER(K891),IF(AND(K891=1,I891="No"),1,0),K891)</x:f>
      </x:c>
      <x:c r="M891" s="2" t="n">
        <x:f>IF(ISNUMBER(K891),1,0)</x:f>
        <x:v>0</x:v>
      </x:c>
    </x:row>
    <x:row r="892" ht="24" customHeight="1">
      <x:c r="A892" s="2" t="str">
        <x:v>S03.07</x:v>
      </x:c>
      <x:c r="B892" s="2" t="str">
        <x:v>S03</x:v>
      </x:c>
      <x:c r="C892" s="2" t="str">
        <x:v>qwen_connected</x:v>
      </x:c>
      <x:c r="D892" s="2" t="n">
        <x:v>1</x:v>
      </x:c>
      <x:c r="E892" s="8"/>
      <x:c r="F892" s="8"/>
      <x:c r="G892" s="9"/>
      <x:c r="H892" s="9"/>
      <x:c r="I892" s="8"/>
      <x:c r="J892" s="8"/>
      <x:c r="K892" s="2" t="str">
        <x:f>IF(OR(E892="",F892="",G892="",H892="",I892="",J892=""),"",IF(E892="Harness blocked","BLOCKED",IF(AND(E892="Present",F892="Supplied"),1,IF(OR(E892="Missing",E892="Not reached"),0,"CHECK"))))</x:f>
      </x:c>
      <x:c r="L892" s="2" t="str">
        <x:f>IF(ISNUMBER(K892),IF(AND(K892=1,I892="No"),1,0),K892)</x:f>
      </x:c>
      <x:c r="M892" s="2" t="n">
        <x:f>IF(ISNUMBER(K892),1,0)</x:f>
        <x:v>0</x:v>
      </x:c>
    </x:row>
    <x:row r="893" ht="24" customHeight="1">
      <x:c r="A893" s="2" t="str">
        <x:v>S03.08</x:v>
      </x:c>
      <x:c r="B893" s="2" t="str">
        <x:v>S03</x:v>
      </x:c>
      <x:c r="C893" s="2" t="str">
        <x:v>qwen_connected</x:v>
      </x:c>
      <x:c r="D893" s="2" t="n">
        <x:v>1</x:v>
      </x:c>
      <x:c r="E893" s="8"/>
      <x:c r="F893" s="8"/>
      <x:c r="G893" s="9"/>
      <x:c r="H893" s="9"/>
      <x:c r="I893" s="8"/>
      <x:c r="J893" s="8"/>
      <x:c r="K893" s="2" t="str">
        <x:f>IF(OR(E893="",F893="",G893="",H893="",I893="",J893=""),"",IF(E893="Harness blocked","BLOCKED",IF(AND(E893="Present",F893="Supplied"),1,IF(OR(E893="Missing",E893="Not reached"),0,"CHECK"))))</x:f>
      </x:c>
      <x:c r="L893" s="2" t="str">
        <x:f>IF(ISNUMBER(K893),IF(AND(K893=1,I893="No"),1,0),K893)</x:f>
      </x:c>
      <x:c r="M893" s="2" t="n">
        <x:f>IF(ISNUMBER(K893),1,0)</x:f>
        <x:v>0</x:v>
      </x:c>
    </x:row>
    <x:row r="894" ht="24" customHeight="1">
      <x:c r="A894" s="2" t="str">
        <x:v>S04.01</x:v>
      </x:c>
      <x:c r="B894" s="2" t="str">
        <x:v>S04</x:v>
      </x:c>
      <x:c r="C894" s="2" t="str">
        <x:v>qwen_connected</x:v>
      </x:c>
      <x:c r="D894" s="2" t="n">
        <x:v>1</x:v>
      </x:c>
      <x:c r="E894" s="8"/>
      <x:c r="F894" s="8"/>
      <x:c r="G894" s="9"/>
      <x:c r="H894" s="9"/>
      <x:c r="I894" s="8"/>
      <x:c r="J894" s="8"/>
      <x:c r="K894" s="2" t="str">
        <x:f>IF(OR(E894="",F894="",G894="",H894="",I894="",J894=""),"",IF(E894="Harness blocked","BLOCKED",IF(AND(E894="Present",F894="Supplied"),1,IF(OR(E894="Missing",E894="Not reached"),0,"CHECK"))))</x:f>
      </x:c>
      <x:c r="L894" s="2" t="str">
        <x:f>IF(ISNUMBER(K894),IF(AND(K894=1,I894="No"),1,0),K894)</x:f>
      </x:c>
      <x:c r="M894" s="2" t="n">
        <x:f>IF(ISNUMBER(K894),1,0)</x:f>
        <x:v>0</x:v>
      </x:c>
    </x:row>
    <x:row r="895" ht="24" customHeight="1">
      <x:c r="A895" s="2" t="str">
        <x:v>S04.02</x:v>
      </x:c>
      <x:c r="B895" s="2" t="str">
        <x:v>S04</x:v>
      </x:c>
      <x:c r="C895" s="2" t="str">
        <x:v>qwen_connected</x:v>
      </x:c>
      <x:c r="D895" s="2" t="n">
        <x:v>1</x:v>
      </x:c>
      <x:c r="E895" s="8"/>
      <x:c r="F895" s="8"/>
      <x:c r="G895" s="9"/>
      <x:c r="H895" s="9"/>
      <x:c r="I895" s="8"/>
      <x:c r="J895" s="8"/>
      <x:c r="K895" s="2" t="str">
        <x:f>IF(OR(E895="",F895="",G895="",H895="",I895="",J895=""),"",IF(E895="Harness blocked","BLOCKED",IF(AND(E895="Present",F895="Supplied"),1,IF(OR(E895="Missing",E895="Not reached"),0,"CHECK"))))</x:f>
      </x:c>
      <x:c r="L895" s="2" t="str">
        <x:f>IF(ISNUMBER(K895),IF(AND(K895=1,I895="No"),1,0),K895)</x:f>
      </x:c>
      <x:c r="M895" s="2" t="n">
        <x:f>IF(ISNUMBER(K895),1,0)</x:f>
        <x:v>0</x:v>
      </x:c>
    </x:row>
    <x:row r="896" ht="24" customHeight="1">
      <x:c r="A896" s="2" t="str">
        <x:v>S04.03</x:v>
      </x:c>
      <x:c r="B896" s="2" t="str">
        <x:v>S04</x:v>
      </x:c>
      <x:c r="C896" s="2" t="str">
        <x:v>qwen_connected</x:v>
      </x:c>
      <x:c r="D896" s="2" t="n">
        <x:v>1</x:v>
      </x:c>
      <x:c r="E896" s="8"/>
      <x:c r="F896" s="8"/>
      <x:c r="G896" s="9"/>
      <x:c r="H896" s="9"/>
      <x:c r="I896" s="8"/>
      <x:c r="J896" s="8"/>
      <x:c r="K896" s="2" t="str">
        <x:f>IF(OR(E896="",F896="",G896="",H896="",I896="",J896=""),"",IF(E896="Harness blocked","BLOCKED",IF(AND(E896="Present",F896="Supplied"),1,IF(OR(E896="Missing",E896="Not reached"),0,"CHECK"))))</x:f>
      </x:c>
      <x:c r="L896" s="2" t="str">
        <x:f>IF(ISNUMBER(K896),IF(AND(K896=1,I896="No"),1,0),K896)</x:f>
      </x:c>
      <x:c r="M896" s="2" t="n">
        <x:f>IF(ISNUMBER(K896),1,0)</x:f>
        <x:v>0</x:v>
      </x:c>
    </x:row>
    <x:row r="897" ht="24" customHeight="1">
      <x:c r="A897" s="2" t="str">
        <x:v>S04.04</x:v>
      </x:c>
      <x:c r="B897" s="2" t="str">
        <x:v>S04</x:v>
      </x:c>
      <x:c r="C897" s="2" t="str">
        <x:v>qwen_connected</x:v>
      </x:c>
      <x:c r="D897" s="2" t="n">
        <x:v>1</x:v>
      </x:c>
      <x:c r="E897" s="8"/>
      <x:c r="F897" s="8"/>
      <x:c r="G897" s="9"/>
      <x:c r="H897" s="9"/>
      <x:c r="I897" s="8"/>
      <x:c r="J897" s="8"/>
      <x:c r="K897" s="2" t="str">
        <x:f>IF(OR(E897="",F897="",G897="",H897="",I897="",J897=""),"",IF(E897="Harness blocked","BLOCKED",IF(AND(E897="Present",F897="Supplied"),1,IF(OR(E897="Missing",E897="Not reached"),0,"CHECK"))))</x:f>
      </x:c>
      <x:c r="L897" s="2" t="str">
        <x:f>IF(ISNUMBER(K897),IF(AND(K897=1,I897="No"),1,0),K897)</x:f>
      </x:c>
      <x:c r="M897" s="2" t="n">
        <x:f>IF(ISNUMBER(K897),1,0)</x:f>
        <x:v>0</x:v>
      </x:c>
    </x:row>
    <x:row r="898" ht="24" customHeight="1">
      <x:c r="A898" s="2" t="str">
        <x:v>S04.05</x:v>
      </x:c>
      <x:c r="B898" s="2" t="str">
        <x:v>S04</x:v>
      </x:c>
      <x:c r="C898" s="2" t="str">
        <x:v>qwen_connected</x:v>
      </x:c>
      <x:c r="D898" s="2" t="n">
        <x:v>1</x:v>
      </x:c>
      <x:c r="E898" s="8"/>
      <x:c r="F898" s="8"/>
      <x:c r="G898" s="9"/>
      <x:c r="H898" s="9"/>
      <x:c r="I898" s="8"/>
      <x:c r="J898" s="8"/>
      <x:c r="K898" s="2" t="str">
        <x:f>IF(OR(E898="",F898="",G898="",H898="",I898="",J898=""),"",IF(E898="Harness blocked","BLOCKED",IF(AND(E898="Present",F898="Supplied"),1,IF(OR(E898="Missing",E898="Not reached"),0,"CHECK"))))</x:f>
      </x:c>
      <x:c r="L898" s="2" t="str">
        <x:f>IF(ISNUMBER(K898),IF(AND(K898=1,I898="No"),1,0),K898)</x:f>
      </x:c>
      <x:c r="M898" s="2" t="n">
        <x:f>IF(ISNUMBER(K898),1,0)</x:f>
        <x:v>0</x:v>
      </x:c>
    </x:row>
    <x:row r="899" ht="24" customHeight="1">
      <x:c r="A899" s="2" t="str">
        <x:v>S04.06</x:v>
      </x:c>
      <x:c r="B899" s="2" t="str">
        <x:v>S04</x:v>
      </x:c>
      <x:c r="C899" s="2" t="str">
        <x:v>qwen_connected</x:v>
      </x:c>
      <x:c r="D899" s="2" t="n">
        <x:v>1</x:v>
      </x:c>
      <x:c r="E899" s="8"/>
      <x:c r="F899" s="8"/>
      <x:c r="G899" s="9"/>
      <x:c r="H899" s="9"/>
      <x:c r="I899" s="8"/>
      <x:c r="J899" s="8"/>
      <x:c r="K899" s="2" t="str">
        <x:f>IF(OR(E899="",F899="",G899="",H899="",I899="",J899=""),"",IF(E899="Harness blocked","BLOCKED",IF(AND(E899="Present",F899="Supplied"),1,IF(OR(E899="Missing",E899="Not reached"),0,"CHECK"))))</x:f>
      </x:c>
      <x:c r="L899" s="2" t="str">
        <x:f>IF(ISNUMBER(K899),IF(AND(K899=1,I899="No"),1,0),K899)</x:f>
      </x:c>
      <x:c r="M899" s="2" t="n">
        <x:f>IF(ISNUMBER(K899),1,0)</x:f>
        <x:v>0</x:v>
      </x:c>
    </x:row>
    <x:row r="900" ht="24" customHeight="1">
      <x:c r="A900" s="2" t="str">
        <x:v>S04.07</x:v>
      </x:c>
      <x:c r="B900" s="2" t="str">
        <x:v>S04</x:v>
      </x:c>
      <x:c r="C900" s="2" t="str">
        <x:v>qwen_connected</x:v>
      </x:c>
      <x:c r="D900" s="2" t="n">
        <x:v>1</x:v>
      </x:c>
      <x:c r="E900" s="8"/>
      <x:c r="F900" s="8"/>
      <x:c r="G900" s="9"/>
      <x:c r="H900" s="9"/>
      <x:c r="I900" s="8"/>
      <x:c r="J900" s="8"/>
      <x:c r="K900" s="2" t="str">
        <x:f>IF(OR(E900="",F900="",G900="",H900="",I900="",J900=""),"",IF(E900="Harness blocked","BLOCKED",IF(AND(E900="Present",F900="Supplied"),1,IF(OR(E900="Missing",E900="Not reached"),0,"CHECK"))))</x:f>
      </x:c>
      <x:c r="L900" s="2" t="str">
        <x:f>IF(ISNUMBER(K900),IF(AND(K900=1,I900="No"),1,0),K900)</x:f>
      </x:c>
      <x:c r="M900" s="2" t="n">
        <x:f>IF(ISNUMBER(K900),1,0)</x:f>
        <x:v>0</x:v>
      </x:c>
    </x:row>
    <x:row r="901" ht="24" customHeight="1">
      <x:c r="A901" s="2" t="str">
        <x:v>S04.08</x:v>
      </x:c>
      <x:c r="B901" s="2" t="str">
        <x:v>S04</x:v>
      </x:c>
      <x:c r="C901" s="2" t="str">
        <x:v>qwen_connected</x:v>
      </x:c>
      <x:c r="D901" s="2" t="n">
        <x:v>1</x:v>
      </x:c>
      <x:c r="E901" s="8"/>
      <x:c r="F901" s="8"/>
      <x:c r="G901" s="9"/>
      <x:c r="H901" s="9"/>
      <x:c r="I901" s="8"/>
      <x:c r="J901" s="8"/>
      <x:c r="K901" s="2" t="str">
        <x:f>IF(OR(E901="",F901="",G901="",H901="",I901="",J901=""),"",IF(E901="Harness blocked","BLOCKED",IF(AND(E901="Present",F901="Supplied"),1,IF(OR(E901="Missing",E901="Not reached"),0,"CHECK"))))</x:f>
      </x:c>
      <x:c r="L901" s="2" t="str">
        <x:f>IF(ISNUMBER(K901),IF(AND(K901=1,I901="No"),1,0),K901)</x:f>
      </x:c>
      <x:c r="M901" s="2" t="n">
        <x:f>IF(ISNUMBER(K901),1,0)</x:f>
        <x:v>0</x:v>
      </x:c>
    </x:row>
    <x:row r="902" ht="24" customHeight="1">
      <x:c r="A902" s="2" t="str">
        <x:v>S05.01</x:v>
      </x:c>
      <x:c r="B902" s="2" t="str">
        <x:v>S05</x:v>
      </x:c>
      <x:c r="C902" s="2" t="str">
        <x:v>qwen_connected</x:v>
      </x:c>
      <x:c r="D902" s="2" t="n">
        <x:v>1</x:v>
      </x:c>
      <x:c r="E902" s="8"/>
      <x:c r="F902" s="8"/>
      <x:c r="G902" s="9"/>
      <x:c r="H902" s="9"/>
      <x:c r="I902" s="8"/>
      <x:c r="J902" s="8"/>
      <x:c r="K902" s="2" t="str">
        <x:f>IF(OR(E902="",F902="",G902="",H902="",I902="",J902=""),"",IF(E902="Harness blocked","BLOCKED",IF(AND(E902="Present",F902="Supplied"),1,IF(OR(E902="Missing",E902="Not reached"),0,"CHECK"))))</x:f>
      </x:c>
      <x:c r="L902" s="2" t="str">
        <x:f>IF(ISNUMBER(K902),IF(AND(K902=1,I902="No"),1,0),K902)</x:f>
      </x:c>
      <x:c r="M902" s="2" t="n">
        <x:f>IF(ISNUMBER(K902),1,0)</x:f>
        <x:v>0</x:v>
      </x:c>
    </x:row>
    <x:row r="903" ht="24" customHeight="1">
      <x:c r="A903" s="2" t="str">
        <x:v>S05.02</x:v>
      </x:c>
      <x:c r="B903" s="2" t="str">
        <x:v>S05</x:v>
      </x:c>
      <x:c r="C903" s="2" t="str">
        <x:v>qwen_connected</x:v>
      </x:c>
      <x:c r="D903" s="2" t="n">
        <x:v>1</x:v>
      </x:c>
      <x:c r="E903" s="8"/>
      <x:c r="F903" s="8"/>
      <x:c r="G903" s="9"/>
      <x:c r="H903" s="9"/>
      <x:c r="I903" s="8"/>
      <x:c r="J903" s="8"/>
      <x:c r="K903" s="2" t="str">
        <x:f>IF(OR(E903="",F903="",G903="",H903="",I903="",J903=""),"",IF(E903="Harness blocked","BLOCKED",IF(AND(E903="Present",F903="Supplied"),1,IF(OR(E903="Missing",E903="Not reached"),0,"CHECK"))))</x:f>
      </x:c>
      <x:c r="L903" s="2" t="str">
        <x:f>IF(ISNUMBER(K903),IF(AND(K903=1,I903="No"),1,0),K903)</x:f>
      </x:c>
      <x:c r="M903" s="2" t="n">
        <x:f>IF(ISNUMBER(K903),1,0)</x:f>
        <x:v>0</x:v>
      </x:c>
    </x:row>
    <x:row r="904" ht="24" customHeight="1">
      <x:c r="A904" s="2" t="str">
        <x:v>S05.03</x:v>
      </x:c>
      <x:c r="B904" s="2" t="str">
        <x:v>S05</x:v>
      </x:c>
      <x:c r="C904" s="2" t="str">
        <x:v>qwen_connected</x:v>
      </x:c>
      <x:c r="D904" s="2" t="n">
        <x:v>1</x:v>
      </x:c>
      <x:c r="E904" s="8"/>
      <x:c r="F904" s="8"/>
      <x:c r="G904" s="9"/>
      <x:c r="H904" s="9"/>
      <x:c r="I904" s="8"/>
      <x:c r="J904" s="8"/>
      <x:c r="K904" s="2" t="str">
        <x:f>IF(OR(E904="",F904="",G904="",H904="",I904="",J904=""),"",IF(E904="Harness blocked","BLOCKED",IF(AND(E904="Present",F904="Supplied"),1,IF(OR(E904="Missing",E904="Not reached"),0,"CHECK"))))</x:f>
      </x:c>
      <x:c r="L904" s="2" t="str">
        <x:f>IF(ISNUMBER(K904),IF(AND(K904=1,I904="No"),1,0),K904)</x:f>
      </x:c>
      <x:c r="M904" s="2" t="n">
        <x:f>IF(ISNUMBER(K904),1,0)</x:f>
        <x:v>0</x:v>
      </x:c>
    </x:row>
    <x:row r="905" ht="24" customHeight="1">
      <x:c r="A905" s="2" t="str">
        <x:v>S05.04</x:v>
      </x:c>
      <x:c r="B905" s="2" t="str">
        <x:v>S05</x:v>
      </x:c>
      <x:c r="C905" s="2" t="str">
        <x:v>qwen_connected</x:v>
      </x:c>
      <x:c r="D905" s="2" t="n">
        <x:v>1</x:v>
      </x:c>
      <x:c r="E905" s="8"/>
      <x:c r="F905" s="8"/>
      <x:c r="G905" s="9"/>
      <x:c r="H905" s="9"/>
      <x:c r="I905" s="8"/>
      <x:c r="J905" s="8"/>
      <x:c r="K905" s="2" t="str">
        <x:f>IF(OR(E905="",F905="",G905="",H905="",I905="",J905=""),"",IF(E905="Harness blocked","BLOCKED",IF(AND(E905="Present",F905="Supplied"),1,IF(OR(E905="Missing",E905="Not reached"),0,"CHECK"))))</x:f>
      </x:c>
      <x:c r="L905" s="2" t="str">
        <x:f>IF(ISNUMBER(K905),IF(AND(K905=1,I905="No"),1,0),K905)</x:f>
      </x:c>
      <x:c r="M905" s="2" t="n">
        <x:f>IF(ISNUMBER(K905),1,0)</x:f>
        <x:v>0</x:v>
      </x:c>
    </x:row>
    <x:row r="906" ht="24" customHeight="1">
      <x:c r="A906" s="2" t="str">
        <x:v>S05.05</x:v>
      </x:c>
      <x:c r="B906" s="2" t="str">
        <x:v>S05</x:v>
      </x:c>
      <x:c r="C906" s="2" t="str">
        <x:v>qwen_connected</x:v>
      </x:c>
      <x:c r="D906" s="2" t="n">
        <x:v>1</x:v>
      </x:c>
      <x:c r="E906" s="8"/>
      <x:c r="F906" s="8"/>
      <x:c r="G906" s="9"/>
      <x:c r="H906" s="9"/>
      <x:c r="I906" s="8"/>
      <x:c r="J906" s="8"/>
      <x:c r="K906" s="2" t="str">
        <x:f>IF(OR(E906="",F906="",G906="",H906="",I906="",J906=""),"",IF(E906="Harness blocked","BLOCKED",IF(AND(E906="Present",F906="Supplied"),1,IF(OR(E906="Missing",E906="Not reached"),0,"CHECK"))))</x:f>
      </x:c>
      <x:c r="L906" s="2" t="str">
        <x:f>IF(ISNUMBER(K906),IF(AND(K906=1,I906="No"),1,0),K906)</x:f>
      </x:c>
      <x:c r="M906" s="2" t="n">
        <x:f>IF(ISNUMBER(K906),1,0)</x:f>
        <x:v>0</x:v>
      </x:c>
    </x:row>
    <x:row r="907" ht="24" customHeight="1">
      <x:c r="A907" s="2" t="str">
        <x:v>S05.06</x:v>
      </x:c>
      <x:c r="B907" s="2" t="str">
        <x:v>S05</x:v>
      </x:c>
      <x:c r="C907" s="2" t="str">
        <x:v>qwen_connected</x:v>
      </x:c>
      <x:c r="D907" s="2" t="n">
        <x:v>1</x:v>
      </x:c>
      <x:c r="E907" s="8"/>
      <x:c r="F907" s="8"/>
      <x:c r="G907" s="9"/>
      <x:c r="H907" s="9"/>
      <x:c r="I907" s="8"/>
      <x:c r="J907" s="8"/>
      <x:c r="K907" s="2" t="str">
        <x:f>IF(OR(E907="",F907="",G907="",H907="",I907="",J907=""),"",IF(E907="Harness blocked","BLOCKED",IF(AND(E907="Present",F907="Supplied"),1,IF(OR(E907="Missing",E907="Not reached"),0,"CHECK"))))</x:f>
      </x:c>
      <x:c r="L907" s="2" t="str">
        <x:f>IF(ISNUMBER(K907),IF(AND(K907=1,I907="No"),1,0),K907)</x:f>
      </x:c>
      <x:c r="M907" s="2" t="n">
        <x:f>IF(ISNUMBER(K907),1,0)</x:f>
        <x:v>0</x:v>
      </x:c>
    </x:row>
    <x:row r="908" ht="24" customHeight="1">
      <x:c r="A908" s="2" t="str">
        <x:v>S05.07</x:v>
      </x:c>
      <x:c r="B908" s="2" t="str">
        <x:v>S05</x:v>
      </x:c>
      <x:c r="C908" s="2" t="str">
        <x:v>qwen_connected</x:v>
      </x:c>
      <x:c r="D908" s="2" t="n">
        <x:v>1</x:v>
      </x:c>
      <x:c r="E908" s="8"/>
      <x:c r="F908" s="8"/>
      <x:c r="G908" s="9"/>
      <x:c r="H908" s="9"/>
      <x:c r="I908" s="8"/>
      <x:c r="J908" s="8"/>
      <x:c r="K908" s="2" t="str">
        <x:f>IF(OR(E908="",F908="",G908="",H908="",I908="",J908=""),"",IF(E908="Harness blocked","BLOCKED",IF(AND(E908="Present",F908="Supplied"),1,IF(OR(E908="Missing",E908="Not reached"),0,"CHECK"))))</x:f>
      </x:c>
      <x:c r="L908" s="2" t="str">
        <x:f>IF(ISNUMBER(K908),IF(AND(K908=1,I908="No"),1,0),K908)</x:f>
      </x:c>
      <x:c r="M908" s="2" t="n">
        <x:f>IF(ISNUMBER(K908),1,0)</x:f>
        <x:v>0</x:v>
      </x:c>
    </x:row>
    <x:row r="909" ht="24" customHeight="1">
      <x:c r="A909" s="2" t="str">
        <x:v>S05.08</x:v>
      </x:c>
      <x:c r="B909" s="2" t="str">
        <x:v>S05</x:v>
      </x:c>
      <x:c r="C909" s="2" t="str">
        <x:v>qwen_connected</x:v>
      </x:c>
      <x:c r="D909" s="2" t="n">
        <x:v>1</x:v>
      </x:c>
      <x:c r="E909" s="8"/>
      <x:c r="F909" s="8"/>
      <x:c r="G909" s="9"/>
      <x:c r="H909" s="9"/>
      <x:c r="I909" s="8"/>
      <x:c r="J909" s="8"/>
      <x:c r="K909" s="2" t="str">
        <x:f>IF(OR(E909="",F909="",G909="",H909="",I909="",J909=""),"",IF(E909="Harness blocked","BLOCKED",IF(AND(E909="Present",F909="Supplied"),1,IF(OR(E909="Missing",E909="Not reached"),0,"CHECK"))))</x:f>
      </x:c>
      <x:c r="L909" s="2" t="str">
        <x:f>IF(ISNUMBER(K909),IF(AND(K909=1,I909="No"),1,0),K909)</x:f>
      </x:c>
      <x:c r="M909" s="2" t="n">
        <x:f>IF(ISNUMBER(K909),1,0)</x:f>
        <x:v>0</x:v>
      </x:c>
    </x:row>
    <x:row r="910" ht="24" customHeight="1">
      <x:c r="A910" s="2" t="str">
        <x:v>S06.01</x:v>
      </x:c>
      <x:c r="B910" s="2" t="str">
        <x:v>S06</x:v>
      </x:c>
      <x:c r="C910" s="2" t="str">
        <x:v>qwen_connected</x:v>
      </x:c>
      <x:c r="D910" s="2" t="n">
        <x:v>1</x:v>
      </x:c>
      <x:c r="E910" s="8"/>
      <x:c r="F910" s="8"/>
      <x:c r="G910" s="9"/>
      <x:c r="H910" s="9"/>
      <x:c r="I910" s="8"/>
      <x:c r="J910" s="8"/>
      <x:c r="K910" s="2" t="str">
        <x:f>IF(OR(E910="",F910="",G910="",H910="",I910="",J910=""),"",IF(E910="Harness blocked","BLOCKED",IF(AND(E910="Present",F910="Supplied"),1,IF(OR(E910="Missing",E910="Not reached"),0,"CHECK"))))</x:f>
      </x:c>
      <x:c r="L910" s="2" t="str">
        <x:f>IF(ISNUMBER(K910),IF(AND(K910=1,I910="No"),1,0),K910)</x:f>
      </x:c>
      <x:c r="M910" s="2" t="n">
        <x:f>IF(ISNUMBER(K910),1,0)</x:f>
        <x:v>0</x:v>
      </x:c>
    </x:row>
    <x:row r="911" ht="24" customHeight="1">
      <x:c r="A911" s="2" t="str">
        <x:v>S06.02</x:v>
      </x:c>
      <x:c r="B911" s="2" t="str">
        <x:v>S06</x:v>
      </x:c>
      <x:c r="C911" s="2" t="str">
        <x:v>qwen_connected</x:v>
      </x:c>
      <x:c r="D911" s="2" t="n">
        <x:v>1</x:v>
      </x:c>
      <x:c r="E911" s="8"/>
      <x:c r="F911" s="8"/>
      <x:c r="G911" s="9"/>
      <x:c r="H911" s="9"/>
      <x:c r="I911" s="8"/>
      <x:c r="J911" s="8"/>
      <x:c r="K911" s="2" t="str">
        <x:f>IF(OR(E911="",F911="",G911="",H911="",I911="",J911=""),"",IF(E911="Harness blocked","BLOCKED",IF(AND(E911="Present",F911="Supplied"),1,IF(OR(E911="Missing",E911="Not reached"),0,"CHECK"))))</x:f>
      </x:c>
      <x:c r="L911" s="2" t="str">
        <x:f>IF(ISNUMBER(K911),IF(AND(K911=1,I911="No"),1,0),K911)</x:f>
      </x:c>
      <x:c r="M911" s="2" t="n">
        <x:f>IF(ISNUMBER(K911),1,0)</x:f>
        <x:v>0</x:v>
      </x:c>
    </x:row>
    <x:row r="912" ht="24" customHeight="1">
      <x:c r="A912" s="2" t="str">
        <x:v>S06.03</x:v>
      </x:c>
      <x:c r="B912" s="2" t="str">
        <x:v>S06</x:v>
      </x:c>
      <x:c r="C912" s="2" t="str">
        <x:v>qwen_connected</x:v>
      </x:c>
      <x:c r="D912" s="2" t="n">
        <x:v>1</x:v>
      </x:c>
      <x:c r="E912" s="8"/>
      <x:c r="F912" s="8"/>
      <x:c r="G912" s="9"/>
      <x:c r="H912" s="9"/>
      <x:c r="I912" s="8"/>
      <x:c r="J912" s="8"/>
      <x:c r="K912" s="2" t="str">
        <x:f>IF(OR(E912="",F912="",G912="",H912="",I912="",J912=""),"",IF(E912="Harness blocked","BLOCKED",IF(AND(E912="Present",F912="Supplied"),1,IF(OR(E912="Missing",E912="Not reached"),0,"CHECK"))))</x:f>
      </x:c>
      <x:c r="L912" s="2" t="str">
        <x:f>IF(ISNUMBER(K912),IF(AND(K912=1,I912="No"),1,0),K912)</x:f>
      </x:c>
      <x:c r="M912" s="2" t="n">
        <x:f>IF(ISNUMBER(K912),1,0)</x:f>
        <x:v>0</x:v>
      </x:c>
    </x:row>
    <x:row r="913" ht="24" customHeight="1">
      <x:c r="A913" s="2" t="str">
        <x:v>S06.04</x:v>
      </x:c>
      <x:c r="B913" s="2" t="str">
        <x:v>S06</x:v>
      </x:c>
      <x:c r="C913" s="2" t="str">
        <x:v>qwen_connected</x:v>
      </x:c>
      <x:c r="D913" s="2" t="n">
        <x:v>1</x:v>
      </x:c>
      <x:c r="E913" s="8"/>
      <x:c r="F913" s="8"/>
      <x:c r="G913" s="9"/>
      <x:c r="H913" s="9"/>
      <x:c r="I913" s="8"/>
      <x:c r="J913" s="8"/>
      <x:c r="K913" s="2" t="str">
        <x:f>IF(OR(E913="",F913="",G913="",H913="",I913="",J913=""),"",IF(E913="Harness blocked","BLOCKED",IF(AND(E913="Present",F913="Supplied"),1,IF(OR(E913="Missing",E913="Not reached"),0,"CHECK"))))</x:f>
      </x:c>
      <x:c r="L913" s="2" t="str">
        <x:f>IF(ISNUMBER(K913),IF(AND(K913=1,I913="No"),1,0),K913)</x:f>
      </x:c>
      <x:c r="M913" s="2" t="n">
        <x:f>IF(ISNUMBER(K913),1,0)</x:f>
        <x:v>0</x:v>
      </x:c>
    </x:row>
    <x:row r="914" ht="24" customHeight="1">
      <x:c r="A914" s="2" t="str">
        <x:v>S06.05</x:v>
      </x:c>
      <x:c r="B914" s="2" t="str">
        <x:v>S06</x:v>
      </x:c>
      <x:c r="C914" s="2" t="str">
        <x:v>qwen_connected</x:v>
      </x:c>
      <x:c r="D914" s="2" t="n">
        <x:v>1</x:v>
      </x:c>
      <x:c r="E914" s="8"/>
      <x:c r="F914" s="8"/>
      <x:c r="G914" s="9"/>
      <x:c r="H914" s="9"/>
      <x:c r="I914" s="8"/>
      <x:c r="J914" s="8"/>
      <x:c r="K914" s="2" t="str">
        <x:f>IF(OR(E914="",F914="",G914="",H914="",I914="",J914=""),"",IF(E914="Harness blocked","BLOCKED",IF(AND(E914="Present",F914="Supplied"),1,IF(OR(E914="Missing",E914="Not reached"),0,"CHECK"))))</x:f>
      </x:c>
      <x:c r="L914" s="2" t="str">
        <x:f>IF(ISNUMBER(K914),IF(AND(K914=1,I914="No"),1,0),K914)</x:f>
      </x:c>
      <x:c r="M914" s="2" t="n">
        <x:f>IF(ISNUMBER(K914),1,0)</x:f>
        <x:v>0</x:v>
      </x:c>
    </x:row>
    <x:row r="915" ht="24" customHeight="1">
      <x:c r="A915" s="2" t="str">
        <x:v>S06.06</x:v>
      </x:c>
      <x:c r="B915" s="2" t="str">
        <x:v>S06</x:v>
      </x:c>
      <x:c r="C915" s="2" t="str">
        <x:v>qwen_connected</x:v>
      </x:c>
      <x:c r="D915" s="2" t="n">
        <x:v>1</x:v>
      </x:c>
      <x:c r="E915" s="8"/>
      <x:c r="F915" s="8"/>
      <x:c r="G915" s="9"/>
      <x:c r="H915" s="9"/>
      <x:c r="I915" s="8"/>
      <x:c r="J915" s="8"/>
      <x:c r="K915" s="2" t="str">
        <x:f>IF(OR(E915="",F915="",G915="",H915="",I915="",J915=""),"",IF(E915="Harness blocked","BLOCKED",IF(AND(E915="Present",F915="Supplied"),1,IF(OR(E915="Missing",E915="Not reached"),0,"CHECK"))))</x:f>
      </x:c>
      <x:c r="L915" s="2" t="str">
        <x:f>IF(ISNUMBER(K915),IF(AND(K915=1,I915="No"),1,0),K915)</x:f>
      </x:c>
      <x:c r="M915" s="2" t="n">
        <x:f>IF(ISNUMBER(K915),1,0)</x:f>
        <x:v>0</x:v>
      </x:c>
    </x:row>
    <x:row r="916" ht="24" customHeight="1">
      <x:c r="A916" s="2" t="str">
        <x:v>S06.07</x:v>
      </x:c>
      <x:c r="B916" s="2" t="str">
        <x:v>S06</x:v>
      </x:c>
      <x:c r="C916" s="2" t="str">
        <x:v>qwen_connected</x:v>
      </x:c>
      <x:c r="D916" s="2" t="n">
        <x:v>1</x:v>
      </x:c>
      <x:c r="E916" s="8"/>
      <x:c r="F916" s="8"/>
      <x:c r="G916" s="9"/>
      <x:c r="H916" s="9"/>
      <x:c r="I916" s="8"/>
      <x:c r="J916" s="8"/>
      <x:c r="K916" s="2" t="str">
        <x:f>IF(OR(E916="",F916="",G916="",H916="",I916="",J916=""),"",IF(E916="Harness blocked","BLOCKED",IF(AND(E916="Present",F916="Supplied"),1,IF(OR(E916="Missing",E916="Not reached"),0,"CHECK"))))</x:f>
      </x:c>
      <x:c r="L916" s="2" t="str">
        <x:f>IF(ISNUMBER(K916),IF(AND(K916=1,I916="No"),1,0),K916)</x:f>
      </x:c>
      <x:c r="M916" s="2" t="n">
        <x:f>IF(ISNUMBER(K916),1,0)</x:f>
        <x:v>0</x:v>
      </x:c>
    </x:row>
    <x:row r="917" ht="24" customHeight="1">
      <x:c r="A917" s="2" t="str">
        <x:v>S06.08</x:v>
      </x:c>
      <x:c r="B917" s="2" t="str">
        <x:v>S06</x:v>
      </x:c>
      <x:c r="C917" s="2" t="str">
        <x:v>qwen_connected</x:v>
      </x:c>
      <x:c r="D917" s="2" t="n">
        <x:v>1</x:v>
      </x:c>
      <x:c r="E917" s="8"/>
      <x:c r="F917" s="8"/>
      <x:c r="G917" s="9"/>
      <x:c r="H917" s="9"/>
      <x:c r="I917" s="8"/>
      <x:c r="J917" s="8"/>
      <x:c r="K917" s="2" t="str">
        <x:f>IF(OR(E917="",F917="",G917="",H917="",I917="",J917=""),"",IF(E917="Harness blocked","BLOCKED",IF(AND(E917="Present",F917="Supplied"),1,IF(OR(E917="Missing",E917="Not reached"),0,"CHECK"))))</x:f>
      </x:c>
      <x:c r="L917" s="2" t="str">
        <x:f>IF(ISNUMBER(K917),IF(AND(K917=1,I917="No"),1,0),K917)</x:f>
      </x:c>
      <x:c r="M917" s="2" t="n">
        <x:f>IF(ISNUMBER(K917),1,0)</x:f>
        <x:v>0</x:v>
      </x:c>
    </x:row>
    <x:row r="918" ht="24" customHeight="1">
      <x:c r="A918" s="2" t="str">
        <x:v>S07.01</x:v>
      </x:c>
      <x:c r="B918" s="2" t="str">
        <x:v>S07</x:v>
      </x:c>
      <x:c r="C918" s="2" t="str">
        <x:v>qwen_connected</x:v>
      </x:c>
      <x:c r="D918" s="2" t="n">
        <x:v>1</x:v>
      </x:c>
      <x:c r="E918" s="8"/>
      <x:c r="F918" s="8"/>
      <x:c r="G918" s="9"/>
      <x:c r="H918" s="9"/>
      <x:c r="I918" s="8"/>
      <x:c r="J918" s="8"/>
      <x:c r="K918" s="2" t="str">
        <x:f>IF(OR(E918="",F918="",G918="",H918="",I918="",J918=""),"",IF(E918="Harness blocked","BLOCKED",IF(AND(E918="Present",F918="Supplied"),1,IF(OR(E918="Missing",E918="Not reached"),0,"CHECK"))))</x:f>
      </x:c>
      <x:c r="L918" s="2" t="str">
        <x:f>IF(ISNUMBER(K918),IF(AND(K918=1,I918="No"),1,0),K918)</x:f>
      </x:c>
      <x:c r="M918" s="2" t="n">
        <x:f>IF(ISNUMBER(K918),1,0)</x:f>
        <x:v>0</x:v>
      </x:c>
    </x:row>
    <x:row r="919" ht="24" customHeight="1">
      <x:c r="A919" s="2" t="str">
        <x:v>S07.02</x:v>
      </x:c>
      <x:c r="B919" s="2" t="str">
        <x:v>S07</x:v>
      </x:c>
      <x:c r="C919" s="2" t="str">
        <x:v>qwen_connected</x:v>
      </x:c>
      <x:c r="D919" s="2" t="n">
        <x:v>1</x:v>
      </x:c>
      <x:c r="E919" s="8"/>
      <x:c r="F919" s="8"/>
      <x:c r="G919" s="9"/>
      <x:c r="H919" s="9"/>
      <x:c r="I919" s="8"/>
      <x:c r="J919" s="8"/>
      <x:c r="K919" s="2" t="str">
        <x:f>IF(OR(E919="",F919="",G919="",H919="",I919="",J919=""),"",IF(E919="Harness blocked","BLOCKED",IF(AND(E919="Present",F919="Supplied"),1,IF(OR(E919="Missing",E919="Not reached"),0,"CHECK"))))</x:f>
      </x:c>
      <x:c r="L919" s="2" t="str">
        <x:f>IF(ISNUMBER(K919),IF(AND(K919=1,I919="No"),1,0),K919)</x:f>
      </x:c>
      <x:c r="M919" s="2" t="n">
        <x:f>IF(ISNUMBER(K919),1,0)</x:f>
        <x:v>0</x:v>
      </x:c>
    </x:row>
    <x:row r="920" ht="24" customHeight="1">
      <x:c r="A920" s="2" t="str">
        <x:v>S07.03</x:v>
      </x:c>
      <x:c r="B920" s="2" t="str">
        <x:v>S07</x:v>
      </x:c>
      <x:c r="C920" s="2" t="str">
        <x:v>qwen_connected</x:v>
      </x:c>
      <x:c r="D920" s="2" t="n">
        <x:v>1</x:v>
      </x:c>
      <x:c r="E920" s="8"/>
      <x:c r="F920" s="8"/>
      <x:c r="G920" s="9"/>
      <x:c r="H920" s="9"/>
      <x:c r="I920" s="8"/>
      <x:c r="J920" s="8"/>
      <x:c r="K920" s="2" t="str">
        <x:f>IF(OR(E920="",F920="",G920="",H920="",I920="",J920=""),"",IF(E920="Harness blocked","BLOCKED",IF(AND(E920="Present",F920="Supplied"),1,IF(OR(E920="Missing",E920="Not reached"),0,"CHECK"))))</x:f>
      </x:c>
      <x:c r="L920" s="2" t="str">
        <x:f>IF(ISNUMBER(K920),IF(AND(K920=1,I920="No"),1,0),K920)</x:f>
      </x:c>
      <x:c r="M920" s="2" t="n">
        <x:f>IF(ISNUMBER(K920),1,0)</x:f>
        <x:v>0</x:v>
      </x:c>
    </x:row>
    <x:row r="921" ht="24" customHeight="1">
      <x:c r="A921" s="2" t="str">
        <x:v>S07.04</x:v>
      </x:c>
      <x:c r="B921" s="2" t="str">
        <x:v>S07</x:v>
      </x:c>
      <x:c r="C921" s="2" t="str">
        <x:v>qwen_connected</x:v>
      </x:c>
      <x:c r="D921" s="2" t="n">
        <x:v>1</x:v>
      </x:c>
      <x:c r="E921" s="8"/>
      <x:c r="F921" s="8"/>
      <x:c r="G921" s="9"/>
      <x:c r="H921" s="9"/>
      <x:c r="I921" s="8"/>
      <x:c r="J921" s="8"/>
      <x:c r="K921" s="2" t="str">
        <x:f>IF(OR(E921="",F921="",G921="",H921="",I921="",J921=""),"",IF(E921="Harness blocked","BLOCKED",IF(AND(E921="Present",F921="Supplied"),1,IF(OR(E921="Missing",E921="Not reached"),0,"CHECK"))))</x:f>
      </x:c>
      <x:c r="L921" s="2" t="str">
        <x:f>IF(ISNUMBER(K921),IF(AND(K921=1,I921="No"),1,0),K921)</x:f>
      </x:c>
      <x:c r="M921" s="2" t="n">
        <x:f>IF(ISNUMBER(K921),1,0)</x:f>
        <x:v>0</x:v>
      </x:c>
    </x:row>
    <x:row r="922" ht="24" customHeight="1">
      <x:c r="A922" s="2" t="str">
        <x:v>S07.05</x:v>
      </x:c>
      <x:c r="B922" s="2" t="str">
        <x:v>S07</x:v>
      </x:c>
      <x:c r="C922" s="2" t="str">
        <x:v>qwen_connected</x:v>
      </x:c>
      <x:c r="D922" s="2" t="n">
        <x:v>1</x:v>
      </x:c>
      <x:c r="E922" s="8"/>
      <x:c r="F922" s="8"/>
      <x:c r="G922" s="9"/>
      <x:c r="H922" s="9"/>
      <x:c r="I922" s="8"/>
      <x:c r="J922" s="8"/>
      <x:c r="K922" s="2" t="str">
        <x:f>IF(OR(E922="",F922="",G922="",H922="",I922="",J922=""),"",IF(E922="Harness blocked","BLOCKED",IF(AND(E922="Present",F922="Supplied"),1,IF(OR(E922="Missing",E922="Not reached"),0,"CHECK"))))</x:f>
      </x:c>
      <x:c r="L922" s="2" t="str">
        <x:f>IF(ISNUMBER(K922),IF(AND(K922=1,I922="No"),1,0),K922)</x:f>
      </x:c>
      <x:c r="M922" s="2" t="n">
        <x:f>IF(ISNUMBER(K922),1,0)</x:f>
        <x:v>0</x:v>
      </x:c>
    </x:row>
    <x:row r="923" ht="24" customHeight="1">
      <x:c r="A923" s="2" t="str">
        <x:v>S07.06</x:v>
      </x:c>
      <x:c r="B923" s="2" t="str">
        <x:v>S07</x:v>
      </x:c>
      <x:c r="C923" s="2" t="str">
        <x:v>qwen_connected</x:v>
      </x:c>
      <x:c r="D923" s="2" t="n">
        <x:v>1</x:v>
      </x:c>
      <x:c r="E923" s="8"/>
      <x:c r="F923" s="8"/>
      <x:c r="G923" s="9"/>
      <x:c r="H923" s="9"/>
      <x:c r="I923" s="8"/>
      <x:c r="J923" s="8"/>
      <x:c r="K923" s="2" t="str">
        <x:f>IF(OR(E923="",F923="",G923="",H923="",I923="",J923=""),"",IF(E923="Harness blocked","BLOCKED",IF(AND(E923="Present",F923="Supplied"),1,IF(OR(E923="Missing",E923="Not reached"),0,"CHECK"))))</x:f>
      </x:c>
      <x:c r="L923" s="2" t="str">
        <x:f>IF(ISNUMBER(K923),IF(AND(K923=1,I923="No"),1,0),K923)</x:f>
      </x:c>
      <x:c r="M923" s="2" t="n">
        <x:f>IF(ISNUMBER(K923),1,0)</x:f>
        <x:v>0</x:v>
      </x:c>
    </x:row>
    <x:row r="924" ht="24" customHeight="1">
      <x:c r="A924" s="2" t="str">
        <x:v>S07.07</x:v>
      </x:c>
      <x:c r="B924" s="2" t="str">
        <x:v>S07</x:v>
      </x:c>
      <x:c r="C924" s="2" t="str">
        <x:v>qwen_connected</x:v>
      </x:c>
      <x:c r="D924" s="2" t="n">
        <x:v>1</x:v>
      </x:c>
      <x:c r="E924" s="8"/>
      <x:c r="F924" s="8"/>
      <x:c r="G924" s="9"/>
      <x:c r="H924" s="9"/>
      <x:c r="I924" s="8"/>
      <x:c r="J924" s="8"/>
      <x:c r="K924" s="2" t="str">
        <x:f>IF(OR(E924="",F924="",G924="",H924="",I924="",J924=""),"",IF(E924="Harness blocked","BLOCKED",IF(AND(E924="Present",F924="Supplied"),1,IF(OR(E924="Missing",E924="Not reached"),0,"CHECK"))))</x:f>
      </x:c>
      <x:c r="L924" s="2" t="str">
        <x:f>IF(ISNUMBER(K924),IF(AND(K924=1,I924="No"),1,0),K924)</x:f>
      </x:c>
      <x:c r="M924" s="2" t="n">
        <x:f>IF(ISNUMBER(K924),1,0)</x:f>
        <x:v>0</x:v>
      </x:c>
    </x:row>
    <x:row r="925" ht="24" customHeight="1">
      <x:c r="A925" s="2" t="str">
        <x:v>S07.08</x:v>
      </x:c>
      <x:c r="B925" s="2" t="str">
        <x:v>S07</x:v>
      </x:c>
      <x:c r="C925" s="2" t="str">
        <x:v>qwen_connected</x:v>
      </x:c>
      <x:c r="D925" s="2" t="n">
        <x:v>1</x:v>
      </x:c>
      <x:c r="E925" s="8"/>
      <x:c r="F925" s="8"/>
      <x:c r="G925" s="9"/>
      <x:c r="H925" s="9"/>
      <x:c r="I925" s="8"/>
      <x:c r="J925" s="8"/>
      <x:c r="K925" s="2" t="str">
        <x:f>IF(OR(E925="",F925="",G925="",H925="",I925="",J925=""),"",IF(E925="Harness blocked","BLOCKED",IF(AND(E925="Present",F925="Supplied"),1,IF(OR(E925="Missing",E925="Not reached"),0,"CHECK"))))</x:f>
      </x:c>
      <x:c r="L925" s="2" t="str">
        <x:f>IF(ISNUMBER(K925),IF(AND(K925=1,I925="No"),1,0),K925)</x:f>
      </x:c>
      <x:c r="M925" s="2" t="n">
        <x:f>IF(ISNUMBER(K925),1,0)</x:f>
        <x:v>0</x:v>
      </x:c>
    </x:row>
    <x:row r="926" ht="24" customHeight="1">
      <x:c r="A926" s="2" t="str">
        <x:v>S08.01</x:v>
      </x:c>
      <x:c r="B926" s="2" t="str">
        <x:v>S08</x:v>
      </x:c>
      <x:c r="C926" s="2" t="str">
        <x:v>qwen_connected</x:v>
      </x:c>
      <x:c r="D926" s="2" t="n">
        <x:v>1</x:v>
      </x:c>
      <x:c r="E926" s="8"/>
      <x:c r="F926" s="8"/>
      <x:c r="G926" s="9"/>
      <x:c r="H926" s="9"/>
      <x:c r="I926" s="8"/>
      <x:c r="J926" s="8"/>
      <x:c r="K926" s="2" t="str">
        <x:f>IF(OR(E926="",F926="",G926="",H926="",I926="",J926=""),"",IF(E926="Harness blocked","BLOCKED",IF(AND(E926="Present",F926="Supplied"),1,IF(OR(E926="Missing",E926="Not reached"),0,"CHECK"))))</x:f>
      </x:c>
      <x:c r="L926" s="2" t="str">
        <x:f>IF(ISNUMBER(K926),IF(AND(K926=1,I926="No"),1,0),K926)</x:f>
      </x:c>
      <x:c r="M926" s="2" t="n">
        <x:f>IF(ISNUMBER(K926),1,0)</x:f>
        <x:v>0</x:v>
      </x:c>
    </x:row>
    <x:row r="927" ht="24" customHeight="1">
      <x:c r="A927" s="2" t="str">
        <x:v>S08.02</x:v>
      </x:c>
      <x:c r="B927" s="2" t="str">
        <x:v>S08</x:v>
      </x:c>
      <x:c r="C927" s="2" t="str">
        <x:v>qwen_connected</x:v>
      </x:c>
      <x:c r="D927" s="2" t="n">
        <x:v>1</x:v>
      </x:c>
      <x:c r="E927" s="8"/>
      <x:c r="F927" s="8"/>
      <x:c r="G927" s="9"/>
      <x:c r="H927" s="9"/>
      <x:c r="I927" s="8"/>
      <x:c r="J927" s="8"/>
      <x:c r="K927" s="2" t="str">
        <x:f>IF(OR(E927="",F927="",G927="",H927="",I927="",J927=""),"",IF(E927="Harness blocked","BLOCKED",IF(AND(E927="Present",F927="Supplied"),1,IF(OR(E927="Missing",E927="Not reached"),0,"CHECK"))))</x:f>
      </x:c>
      <x:c r="L927" s="2" t="str">
        <x:f>IF(ISNUMBER(K927),IF(AND(K927=1,I927="No"),1,0),K927)</x:f>
      </x:c>
      <x:c r="M927" s="2" t="n">
        <x:f>IF(ISNUMBER(K927),1,0)</x:f>
        <x:v>0</x:v>
      </x:c>
    </x:row>
    <x:row r="928" ht="24" customHeight="1">
      <x:c r="A928" s="2" t="str">
        <x:v>S08.03</x:v>
      </x:c>
      <x:c r="B928" s="2" t="str">
        <x:v>S08</x:v>
      </x:c>
      <x:c r="C928" s="2" t="str">
        <x:v>qwen_connected</x:v>
      </x:c>
      <x:c r="D928" s="2" t="n">
        <x:v>1</x:v>
      </x:c>
      <x:c r="E928" s="8"/>
      <x:c r="F928" s="8"/>
      <x:c r="G928" s="9"/>
      <x:c r="H928" s="9"/>
      <x:c r="I928" s="8"/>
      <x:c r="J928" s="8"/>
      <x:c r="K928" s="2" t="str">
        <x:f>IF(OR(E928="",F928="",G928="",H928="",I928="",J928=""),"",IF(E928="Harness blocked","BLOCKED",IF(AND(E928="Present",F928="Supplied"),1,IF(OR(E928="Missing",E928="Not reached"),0,"CHECK"))))</x:f>
      </x:c>
      <x:c r="L928" s="2" t="str">
        <x:f>IF(ISNUMBER(K928),IF(AND(K928=1,I928="No"),1,0),K928)</x:f>
      </x:c>
      <x:c r="M928" s="2" t="n">
        <x:f>IF(ISNUMBER(K928),1,0)</x:f>
        <x:v>0</x:v>
      </x:c>
    </x:row>
    <x:row r="929" ht="24" customHeight="1">
      <x:c r="A929" s="2" t="str">
        <x:v>S08.04</x:v>
      </x:c>
      <x:c r="B929" s="2" t="str">
        <x:v>S08</x:v>
      </x:c>
      <x:c r="C929" s="2" t="str">
        <x:v>qwen_connected</x:v>
      </x:c>
      <x:c r="D929" s="2" t="n">
        <x:v>1</x:v>
      </x:c>
      <x:c r="E929" s="8"/>
      <x:c r="F929" s="8"/>
      <x:c r="G929" s="9"/>
      <x:c r="H929" s="9"/>
      <x:c r="I929" s="8"/>
      <x:c r="J929" s="8"/>
      <x:c r="K929" s="2" t="str">
        <x:f>IF(OR(E929="",F929="",G929="",H929="",I929="",J929=""),"",IF(E929="Harness blocked","BLOCKED",IF(AND(E929="Present",F929="Supplied"),1,IF(OR(E929="Missing",E929="Not reached"),0,"CHECK"))))</x:f>
      </x:c>
      <x:c r="L929" s="2" t="str">
        <x:f>IF(ISNUMBER(K929),IF(AND(K929=1,I929="No"),1,0),K929)</x:f>
      </x:c>
      <x:c r="M929" s="2" t="n">
        <x:f>IF(ISNUMBER(K929),1,0)</x:f>
        <x:v>0</x:v>
      </x:c>
    </x:row>
    <x:row r="930" ht="24" customHeight="1">
      <x:c r="A930" s="2" t="str">
        <x:v>S08.05</x:v>
      </x:c>
      <x:c r="B930" s="2" t="str">
        <x:v>S08</x:v>
      </x:c>
      <x:c r="C930" s="2" t="str">
        <x:v>qwen_connected</x:v>
      </x:c>
      <x:c r="D930" s="2" t="n">
        <x:v>1</x:v>
      </x:c>
      <x:c r="E930" s="8"/>
      <x:c r="F930" s="8"/>
      <x:c r="G930" s="9"/>
      <x:c r="H930" s="9"/>
      <x:c r="I930" s="8"/>
      <x:c r="J930" s="8"/>
      <x:c r="K930" s="2" t="str">
        <x:f>IF(OR(E930="",F930="",G930="",H930="",I930="",J930=""),"",IF(E930="Harness blocked","BLOCKED",IF(AND(E930="Present",F930="Supplied"),1,IF(OR(E930="Missing",E930="Not reached"),0,"CHECK"))))</x:f>
      </x:c>
      <x:c r="L930" s="2" t="str">
        <x:f>IF(ISNUMBER(K930),IF(AND(K930=1,I930="No"),1,0),K930)</x:f>
      </x:c>
      <x:c r="M930" s="2" t="n">
        <x:f>IF(ISNUMBER(K930),1,0)</x:f>
        <x:v>0</x:v>
      </x:c>
    </x:row>
    <x:row r="931" ht="24" customHeight="1">
      <x:c r="A931" s="2" t="str">
        <x:v>S08.06</x:v>
      </x:c>
      <x:c r="B931" s="2" t="str">
        <x:v>S08</x:v>
      </x:c>
      <x:c r="C931" s="2" t="str">
        <x:v>qwen_connected</x:v>
      </x:c>
      <x:c r="D931" s="2" t="n">
        <x:v>1</x:v>
      </x:c>
      <x:c r="E931" s="8"/>
      <x:c r="F931" s="8"/>
      <x:c r="G931" s="9"/>
      <x:c r="H931" s="9"/>
      <x:c r="I931" s="8"/>
      <x:c r="J931" s="8"/>
      <x:c r="K931" s="2" t="str">
        <x:f>IF(OR(E931="",F931="",G931="",H931="",I931="",J931=""),"",IF(E931="Harness blocked","BLOCKED",IF(AND(E931="Present",F931="Supplied"),1,IF(OR(E931="Missing",E931="Not reached"),0,"CHECK"))))</x:f>
      </x:c>
      <x:c r="L931" s="2" t="str">
        <x:f>IF(ISNUMBER(K931),IF(AND(K931=1,I931="No"),1,0),K931)</x:f>
      </x:c>
      <x:c r="M931" s="2" t="n">
        <x:f>IF(ISNUMBER(K931),1,0)</x:f>
        <x:v>0</x:v>
      </x:c>
    </x:row>
    <x:row r="932" ht="24" customHeight="1">
      <x:c r="A932" s="2" t="str">
        <x:v>S08.07</x:v>
      </x:c>
      <x:c r="B932" s="2" t="str">
        <x:v>S08</x:v>
      </x:c>
      <x:c r="C932" s="2" t="str">
        <x:v>qwen_connected</x:v>
      </x:c>
      <x:c r="D932" s="2" t="n">
        <x:v>1</x:v>
      </x:c>
      <x:c r="E932" s="8"/>
      <x:c r="F932" s="8"/>
      <x:c r="G932" s="9"/>
      <x:c r="H932" s="9"/>
      <x:c r="I932" s="8"/>
      <x:c r="J932" s="8"/>
      <x:c r="K932" s="2" t="str">
        <x:f>IF(OR(E932="",F932="",G932="",H932="",I932="",J932=""),"",IF(E932="Harness blocked","BLOCKED",IF(AND(E932="Present",F932="Supplied"),1,IF(OR(E932="Missing",E932="Not reached"),0,"CHECK"))))</x:f>
      </x:c>
      <x:c r="L932" s="2" t="str">
        <x:f>IF(ISNUMBER(K932),IF(AND(K932=1,I932="No"),1,0),K932)</x:f>
      </x:c>
      <x:c r="M932" s="2" t="n">
        <x:f>IF(ISNUMBER(K932),1,0)</x:f>
        <x:v>0</x:v>
      </x:c>
    </x:row>
    <x:row r="933" ht="24" customHeight="1">
      <x:c r="A933" s="2" t="str">
        <x:v>S08.08</x:v>
      </x:c>
      <x:c r="B933" s="2" t="str">
        <x:v>S08</x:v>
      </x:c>
      <x:c r="C933" s="2" t="str">
        <x:v>qwen_connected</x:v>
      </x:c>
      <x:c r="D933" s="2" t="n">
        <x:v>1</x:v>
      </x:c>
      <x:c r="E933" s="8"/>
      <x:c r="F933" s="8"/>
      <x:c r="G933" s="9"/>
      <x:c r="H933" s="9"/>
      <x:c r="I933" s="8"/>
      <x:c r="J933" s="8"/>
      <x:c r="K933" s="2" t="str">
        <x:f>IF(OR(E933="",F933="",G933="",H933="",I933="",J933=""),"",IF(E933="Harness blocked","BLOCKED",IF(AND(E933="Present",F933="Supplied"),1,IF(OR(E933="Missing",E933="Not reached"),0,"CHECK"))))</x:f>
      </x:c>
      <x:c r="L933" s="2" t="str">
        <x:f>IF(ISNUMBER(K933),IF(AND(K933=1,I933="No"),1,0),K933)</x:f>
      </x:c>
      <x:c r="M933" s="2" t="n">
        <x:f>IF(ISNUMBER(K933),1,0)</x:f>
        <x:v>0</x:v>
      </x:c>
    </x:row>
    <x:row r="934" ht="24" customHeight="1">
      <x:c r="A934" s="2" t="str">
        <x:v>S09.01</x:v>
      </x:c>
      <x:c r="B934" s="2" t="str">
        <x:v>S09</x:v>
      </x:c>
      <x:c r="C934" s="2" t="str">
        <x:v>qwen_connected</x:v>
      </x:c>
      <x:c r="D934" s="2" t="n">
        <x:v>1</x:v>
      </x:c>
      <x:c r="E934" s="8"/>
      <x:c r="F934" s="8"/>
      <x:c r="G934" s="9"/>
      <x:c r="H934" s="9"/>
      <x:c r="I934" s="8"/>
      <x:c r="J934" s="8"/>
      <x:c r="K934" s="2" t="str">
        <x:f>IF(OR(E934="",F934="",G934="",H934="",I934="",J934=""),"",IF(E934="Harness blocked","BLOCKED",IF(AND(E934="Present",F934="Supplied"),1,IF(OR(E934="Missing",E934="Not reached"),0,"CHECK"))))</x:f>
      </x:c>
      <x:c r="L934" s="2" t="str">
        <x:f>IF(ISNUMBER(K934),IF(AND(K934=1,I934="No"),1,0),K934)</x:f>
      </x:c>
      <x:c r="M934" s="2" t="n">
        <x:f>IF(ISNUMBER(K934),1,0)</x:f>
        <x:v>0</x:v>
      </x:c>
    </x:row>
    <x:row r="935" ht="24" customHeight="1">
      <x:c r="A935" s="2" t="str">
        <x:v>S09.02</x:v>
      </x:c>
      <x:c r="B935" s="2" t="str">
        <x:v>S09</x:v>
      </x:c>
      <x:c r="C935" s="2" t="str">
        <x:v>qwen_connected</x:v>
      </x:c>
      <x:c r="D935" s="2" t="n">
        <x:v>1</x:v>
      </x:c>
      <x:c r="E935" s="8"/>
      <x:c r="F935" s="8"/>
      <x:c r="G935" s="9"/>
      <x:c r="H935" s="9"/>
      <x:c r="I935" s="8"/>
      <x:c r="J935" s="8"/>
      <x:c r="K935" s="2" t="str">
        <x:f>IF(OR(E935="",F935="",G935="",H935="",I935="",J935=""),"",IF(E935="Harness blocked","BLOCKED",IF(AND(E935="Present",F935="Supplied"),1,IF(OR(E935="Missing",E935="Not reached"),0,"CHECK"))))</x:f>
      </x:c>
      <x:c r="L935" s="2" t="str">
        <x:f>IF(ISNUMBER(K935),IF(AND(K935=1,I935="No"),1,0),K935)</x:f>
      </x:c>
      <x:c r="M935" s="2" t="n">
        <x:f>IF(ISNUMBER(K935),1,0)</x:f>
        <x:v>0</x:v>
      </x:c>
    </x:row>
    <x:row r="936" ht="24" customHeight="1">
      <x:c r="A936" s="2" t="str">
        <x:v>S09.03</x:v>
      </x:c>
      <x:c r="B936" s="2" t="str">
        <x:v>S09</x:v>
      </x:c>
      <x:c r="C936" s="2" t="str">
        <x:v>qwen_connected</x:v>
      </x:c>
      <x:c r="D936" s="2" t="n">
        <x:v>1</x:v>
      </x:c>
      <x:c r="E936" s="8"/>
      <x:c r="F936" s="8"/>
      <x:c r="G936" s="9"/>
      <x:c r="H936" s="9"/>
      <x:c r="I936" s="8"/>
      <x:c r="J936" s="8"/>
      <x:c r="K936" s="2" t="str">
        <x:f>IF(OR(E936="",F936="",G936="",H936="",I936="",J936=""),"",IF(E936="Harness blocked","BLOCKED",IF(AND(E936="Present",F936="Supplied"),1,IF(OR(E936="Missing",E936="Not reached"),0,"CHECK"))))</x:f>
      </x:c>
      <x:c r="L936" s="2" t="str">
        <x:f>IF(ISNUMBER(K936),IF(AND(K936=1,I936="No"),1,0),K936)</x:f>
      </x:c>
      <x:c r="M936" s="2" t="n">
        <x:f>IF(ISNUMBER(K936),1,0)</x:f>
        <x:v>0</x:v>
      </x:c>
    </x:row>
    <x:row r="937" ht="24" customHeight="1">
      <x:c r="A937" s="2" t="str">
        <x:v>S09.04</x:v>
      </x:c>
      <x:c r="B937" s="2" t="str">
        <x:v>S09</x:v>
      </x:c>
      <x:c r="C937" s="2" t="str">
        <x:v>qwen_connected</x:v>
      </x:c>
      <x:c r="D937" s="2" t="n">
        <x:v>1</x:v>
      </x:c>
      <x:c r="E937" s="8"/>
      <x:c r="F937" s="8"/>
      <x:c r="G937" s="9"/>
      <x:c r="H937" s="9"/>
      <x:c r="I937" s="8"/>
      <x:c r="J937" s="8"/>
      <x:c r="K937" s="2" t="str">
        <x:f>IF(OR(E937="",F937="",G937="",H937="",I937="",J937=""),"",IF(E937="Harness blocked","BLOCKED",IF(AND(E937="Present",F937="Supplied"),1,IF(OR(E937="Missing",E937="Not reached"),0,"CHECK"))))</x:f>
      </x:c>
      <x:c r="L937" s="2" t="str">
        <x:f>IF(ISNUMBER(K937),IF(AND(K937=1,I937="No"),1,0),K937)</x:f>
      </x:c>
      <x:c r="M937" s="2" t="n">
        <x:f>IF(ISNUMBER(K937),1,0)</x:f>
        <x:v>0</x:v>
      </x:c>
    </x:row>
    <x:row r="938" ht="24" customHeight="1">
      <x:c r="A938" s="2" t="str">
        <x:v>S09.05</x:v>
      </x:c>
      <x:c r="B938" s="2" t="str">
        <x:v>S09</x:v>
      </x:c>
      <x:c r="C938" s="2" t="str">
        <x:v>qwen_connected</x:v>
      </x:c>
      <x:c r="D938" s="2" t="n">
        <x:v>1</x:v>
      </x:c>
      <x:c r="E938" s="8"/>
      <x:c r="F938" s="8"/>
      <x:c r="G938" s="9"/>
      <x:c r="H938" s="9"/>
      <x:c r="I938" s="8"/>
      <x:c r="J938" s="8"/>
      <x:c r="K938" s="2" t="str">
        <x:f>IF(OR(E938="",F938="",G938="",H938="",I938="",J938=""),"",IF(E938="Harness blocked","BLOCKED",IF(AND(E938="Present",F938="Supplied"),1,IF(OR(E938="Missing",E938="Not reached"),0,"CHECK"))))</x:f>
      </x:c>
      <x:c r="L938" s="2" t="str">
        <x:f>IF(ISNUMBER(K938),IF(AND(K938=1,I938="No"),1,0),K938)</x:f>
      </x:c>
      <x:c r="M938" s="2" t="n">
        <x:f>IF(ISNUMBER(K938),1,0)</x:f>
        <x:v>0</x:v>
      </x:c>
    </x:row>
    <x:row r="939" ht="24" customHeight="1">
      <x:c r="A939" s="2" t="str">
        <x:v>S09.06</x:v>
      </x:c>
      <x:c r="B939" s="2" t="str">
        <x:v>S09</x:v>
      </x:c>
      <x:c r="C939" s="2" t="str">
        <x:v>qwen_connected</x:v>
      </x:c>
      <x:c r="D939" s="2" t="n">
        <x:v>1</x:v>
      </x:c>
      <x:c r="E939" s="8"/>
      <x:c r="F939" s="8"/>
      <x:c r="G939" s="9"/>
      <x:c r="H939" s="9"/>
      <x:c r="I939" s="8"/>
      <x:c r="J939" s="8"/>
      <x:c r="K939" s="2" t="str">
        <x:f>IF(OR(E939="",F939="",G939="",H939="",I939="",J939=""),"",IF(E939="Harness blocked","BLOCKED",IF(AND(E939="Present",F939="Supplied"),1,IF(OR(E939="Missing",E939="Not reached"),0,"CHECK"))))</x:f>
      </x:c>
      <x:c r="L939" s="2" t="str">
        <x:f>IF(ISNUMBER(K939),IF(AND(K939=1,I939="No"),1,0),K939)</x:f>
      </x:c>
      <x:c r="M939" s="2" t="n">
        <x:f>IF(ISNUMBER(K939),1,0)</x:f>
        <x:v>0</x:v>
      </x:c>
    </x:row>
    <x:row r="940" ht="24" customHeight="1">
      <x:c r="A940" s="2" t="str">
        <x:v>S09.07</x:v>
      </x:c>
      <x:c r="B940" s="2" t="str">
        <x:v>S09</x:v>
      </x:c>
      <x:c r="C940" s="2" t="str">
        <x:v>qwen_connected</x:v>
      </x:c>
      <x:c r="D940" s="2" t="n">
        <x:v>1</x:v>
      </x:c>
      <x:c r="E940" s="8"/>
      <x:c r="F940" s="8"/>
      <x:c r="G940" s="9"/>
      <x:c r="H940" s="9"/>
      <x:c r="I940" s="8"/>
      <x:c r="J940" s="8"/>
      <x:c r="K940" s="2" t="str">
        <x:f>IF(OR(E940="",F940="",G940="",H940="",I940="",J940=""),"",IF(E940="Harness blocked","BLOCKED",IF(AND(E940="Present",F940="Supplied"),1,IF(OR(E940="Missing",E940="Not reached"),0,"CHECK"))))</x:f>
      </x:c>
      <x:c r="L940" s="2" t="str">
        <x:f>IF(ISNUMBER(K940),IF(AND(K940=1,I940="No"),1,0),K940)</x:f>
      </x:c>
      <x:c r="M940" s="2" t="n">
        <x:f>IF(ISNUMBER(K940),1,0)</x:f>
        <x:v>0</x:v>
      </x:c>
    </x:row>
    <x:row r="941" ht="24" customHeight="1">
      <x:c r="A941" s="2" t="str">
        <x:v>S09.08</x:v>
      </x:c>
      <x:c r="B941" s="2" t="str">
        <x:v>S09</x:v>
      </x:c>
      <x:c r="C941" s="2" t="str">
        <x:v>qwen_connected</x:v>
      </x:c>
      <x:c r="D941" s="2" t="n">
        <x:v>1</x:v>
      </x:c>
      <x:c r="E941" s="8"/>
      <x:c r="F941" s="8"/>
      <x:c r="G941" s="9"/>
      <x:c r="H941" s="9"/>
      <x:c r="I941" s="8"/>
      <x:c r="J941" s="8"/>
      <x:c r="K941" s="2" t="str">
        <x:f>IF(OR(E941="",F941="",G941="",H941="",I941="",J941=""),"",IF(E941="Harness blocked","BLOCKED",IF(AND(E941="Present",F941="Supplied"),1,IF(OR(E941="Missing",E941="Not reached"),0,"CHECK"))))</x:f>
      </x:c>
      <x:c r="L941" s="2" t="str">
        <x:f>IF(ISNUMBER(K941),IF(AND(K941=1,I941="No"),1,0),K941)</x:f>
      </x:c>
      <x:c r="M941" s="2" t="n">
        <x:f>IF(ISNUMBER(K941),1,0)</x:f>
        <x:v>0</x:v>
      </x:c>
    </x:row>
    <x:row r="942" ht="24" customHeight="1">
      <x:c r="A942" s="2" t="str">
        <x:v>S10.01</x:v>
      </x:c>
      <x:c r="B942" s="2" t="str">
        <x:v>S10</x:v>
      </x:c>
      <x:c r="C942" s="2" t="str">
        <x:v>qwen_connected</x:v>
      </x:c>
      <x:c r="D942" s="2" t="n">
        <x:v>1</x:v>
      </x:c>
      <x:c r="E942" s="8"/>
      <x:c r="F942" s="8"/>
      <x:c r="G942" s="9"/>
      <x:c r="H942" s="9"/>
      <x:c r="I942" s="8"/>
      <x:c r="J942" s="8"/>
      <x:c r="K942" s="2" t="str">
        <x:f>IF(OR(E942="",F942="",G942="",H942="",I942="",J942=""),"",IF(E942="Harness blocked","BLOCKED",IF(AND(E942="Present",F942="Supplied"),1,IF(OR(E942="Missing",E942="Not reached"),0,"CHECK"))))</x:f>
      </x:c>
      <x:c r="L942" s="2" t="str">
        <x:f>IF(ISNUMBER(K942),IF(AND(K942=1,I942="No"),1,0),K942)</x:f>
      </x:c>
      <x:c r="M942" s="2" t="n">
        <x:f>IF(ISNUMBER(K942),1,0)</x:f>
        <x:v>0</x:v>
      </x:c>
    </x:row>
    <x:row r="943" ht="24" customHeight="1">
      <x:c r="A943" s="2" t="str">
        <x:v>S10.02</x:v>
      </x:c>
      <x:c r="B943" s="2" t="str">
        <x:v>S10</x:v>
      </x:c>
      <x:c r="C943" s="2" t="str">
        <x:v>qwen_connected</x:v>
      </x:c>
      <x:c r="D943" s="2" t="n">
        <x:v>1</x:v>
      </x:c>
      <x:c r="E943" s="8"/>
      <x:c r="F943" s="8"/>
      <x:c r="G943" s="9"/>
      <x:c r="H943" s="9"/>
      <x:c r="I943" s="8"/>
      <x:c r="J943" s="8"/>
      <x:c r="K943" s="2" t="str">
        <x:f>IF(OR(E943="",F943="",G943="",H943="",I943="",J943=""),"",IF(E943="Harness blocked","BLOCKED",IF(AND(E943="Present",F943="Supplied"),1,IF(OR(E943="Missing",E943="Not reached"),0,"CHECK"))))</x:f>
      </x:c>
      <x:c r="L943" s="2" t="str">
        <x:f>IF(ISNUMBER(K943),IF(AND(K943=1,I943="No"),1,0),K943)</x:f>
      </x:c>
      <x:c r="M943" s="2" t="n">
        <x:f>IF(ISNUMBER(K943),1,0)</x:f>
        <x:v>0</x:v>
      </x:c>
    </x:row>
    <x:row r="944" ht="24" customHeight="1">
      <x:c r="A944" s="2" t="str">
        <x:v>S10.03</x:v>
      </x:c>
      <x:c r="B944" s="2" t="str">
        <x:v>S10</x:v>
      </x:c>
      <x:c r="C944" s="2" t="str">
        <x:v>qwen_connected</x:v>
      </x:c>
      <x:c r="D944" s="2" t="n">
        <x:v>1</x:v>
      </x:c>
      <x:c r="E944" s="8"/>
      <x:c r="F944" s="8"/>
      <x:c r="G944" s="9"/>
      <x:c r="H944" s="9"/>
      <x:c r="I944" s="8"/>
      <x:c r="J944" s="8"/>
      <x:c r="K944" s="2" t="str">
        <x:f>IF(OR(E944="",F944="",G944="",H944="",I944="",J944=""),"",IF(E944="Harness blocked","BLOCKED",IF(AND(E944="Present",F944="Supplied"),1,IF(OR(E944="Missing",E944="Not reached"),0,"CHECK"))))</x:f>
      </x:c>
      <x:c r="L944" s="2" t="str">
        <x:f>IF(ISNUMBER(K944),IF(AND(K944=1,I944="No"),1,0),K944)</x:f>
      </x:c>
      <x:c r="M944" s="2" t="n">
        <x:f>IF(ISNUMBER(K944),1,0)</x:f>
        <x:v>0</x:v>
      </x:c>
    </x:row>
    <x:row r="945" ht="24" customHeight="1">
      <x:c r="A945" s="2" t="str">
        <x:v>S10.04</x:v>
      </x:c>
      <x:c r="B945" s="2" t="str">
        <x:v>S10</x:v>
      </x:c>
      <x:c r="C945" s="2" t="str">
        <x:v>qwen_connected</x:v>
      </x:c>
      <x:c r="D945" s="2" t="n">
        <x:v>1</x:v>
      </x:c>
      <x:c r="E945" s="8"/>
      <x:c r="F945" s="8"/>
      <x:c r="G945" s="9"/>
      <x:c r="H945" s="9"/>
      <x:c r="I945" s="8"/>
      <x:c r="J945" s="8"/>
      <x:c r="K945" s="2" t="str">
        <x:f>IF(OR(E945="",F945="",G945="",H945="",I945="",J945=""),"",IF(E945="Harness blocked","BLOCKED",IF(AND(E945="Present",F945="Supplied"),1,IF(OR(E945="Missing",E945="Not reached"),0,"CHECK"))))</x:f>
      </x:c>
      <x:c r="L945" s="2" t="str">
        <x:f>IF(ISNUMBER(K945),IF(AND(K945=1,I945="No"),1,0),K945)</x:f>
      </x:c>
      <x:c r="M945" s="2" t="n">
        <x:f>IF(ISNUMBER(K945),1,0)</x:f>
        <x:v>0</x:v>
      </x:c>
    </x:row>
    <x:row r="946" ht="24" customHeight="1">
      <x:c r="A946" s="2" t="str">
        <x:v>S10.05</x:v>
      </x:c>
      <x:c r="B946" s="2" t="str">
        <x:v>S10</x:v>
      </x:c>
      <x:c r="C946" s="2" t="str">
        <x:v>qwen_connected</x:v>
      </x:c>
      <x:c r="D946" s="2" t="n">
        <x:v>1</x:v>
      </x:c>
      <x:c r="E946" s="8"/>
      <x:c r="F946" s="8"/>
      <x:c r="G946" s="9"/>
      <x:c r="H946" s="9"/>
      <x:c r="I946" s="8"/>
      <x:c r="J946" s="8"/>
      <x:c r="K946" s="2" t="str">
        <x:f>IF(OR(E946="",F946="",G946="",H946="",I946="",J946=""),"",IF(E946="Harness blocked","BLOCKED",IF(AND(E946="Present",F946="Supplied"),1,IF(OR(E946="Missing",E946="Not reached"),0,"CHECK"))))</x:f>
      </x:c>
      <x:c r="L946" s="2" t="str">
        <x:f>IF(ISNUMBER(K946),IF(AND(K946=1,I946="No"),1,0),K946)</x:f>
      </x:c>
      <x:c r="M946" s="2" t="n">
        <x:f>IF(ISNUMBER(K946),1,0)</x:f>
        <x:v>0</x:v>
      </x:c>
    </x:row>
    <x:row r="947" ht="24" customHeight="1">
      <x:c r="A947" s="2" t="str">
        <x:v>S10.06</x:v>
      </x:c>
      <x:c r="B947" s="2" t="str">
        <x:v>S10</x:v>
      </x:c>
      <x:c r="C947" s="2" t="str">
        <x:v>qwen_connected</x:v>
      </x:c>
      <x:c r="D947" s="2" t="n">
        <x:v>1</x:v>
      </x:c>
      <x:c r="E947" s="8"/>
      <x:c r="F947" s="8"/>
      <x:c r="G947" s="9"/>
      <x:c r="H947" s="9"/>
      <x:c r="I947" s="8"/>
      <x:c r="J947" s="8"/>
      <x:c r="K947" s="2" t="str">
        <x:f>IF(OR(E947="",F947="",G947="",H947="",I947="",J947=""),"",IF(E947="Harness blocked","BLOCKED",IF(AND(E947="Present",F947="Supplied"),1,IF(OR(E947="Missing",E947="Not reached"),0,"CHECK"))))</x:f>
      </x:c>
      <x:c r="L947" s="2" t="str">
        <x:f>IF(ISNUMBER(K947),IF(AND(K947=1,I947="No"),1,0),K947)</x:f>
      </x:c>
      <x:c r="M947" s="2" t="n">
        <x:f>IF(ISNUMBER(K947),1,0)</x:f>
        <x:v>0</x:v>
      </x:c>
    </x:row>
    <x:row r="948" ht="24" customHeight="1">
      <x:c r="A948" s="2" t="str">
        <x:v>S10.07</x:v>
      </x:c>
      <x:c r="B948" s="2" t="str">
        <x:v>S10</x:v>
      </x:c>
      <x:c r="C948" s="2" t="str">
        <x:v>qwen_connected</x:v>
      </x:c>
      <x:c r="D948" s="2" t="n">
        <x:v>1</x:v>
      </x:c>
      <x:c r="E948" s="8"/>
      <x:c r="F948" s="8"/>
      <x:c r="G948" s="9"/>
      <x:c r="H948" s="9"/>
      <x:c r="I948" s="8"/>
      <x:c r="J948" s="8"/>
      <x:c r="K948" s="2" t="str">
        <x:f>IF(OR(E948="",F948="",G948="",H948="",I948="",J948=""),"",IF(E948="Harness blocked","BLOCKED",IF(AND(E948="Present",F948="Supplied"),1,IF(OR(E948="Missing",E948="Not reached"),0,"CHECK"))))</x:f>
      </x:c>
      <x:c r="L948" s="2" t="str">
        <x:f>IF(ISNUMBER(K948),IF(AND(K948=1,I948="No"),1,0),K948)</x:f>
      </x:c>
      <x:c r="M948" s="2" t="n">
        <x:f>IF(ISNUMBER(K948),1,0)</x:f>
        <x:v>0</x:v>
      </x:c>
    </x:row>
    <x:row r="949" ht="24" customHeight="1">
      <x:c r="A949" s="2" t="str">
        <x:v>S10.08</x:v>
      </x:c>
      <x:c r="B949" s="2" t="str">
        <x:v>S10</x:v>
      </x:c>
      <x:c r="C949" s="2" t="str">
        <x:v>qwen_connected</x:v>
      </x:c>
      <x:c r="D949" s="2" t="n">
        <x:v>1</x:v>
      </x:c>
      <x:c r="E949" s="8"/>
      <x:c r="F949" s="8"/>
      <x:c r="G949" s="9"/>
      <x:c r="H949" s="9"/>
      <x:c r="I949" s="8"/>
      <x:c r="J949" s="8"/>
      <x:c r="K949" s="2" t="str">
        <x:f>IF(OR(E949="",F949="",G949="",H949="",I949="",J949=""),"",IF(E949="Harness blocked","BLOCKED",IF(AND(E949="Present",F949="Supplied"),1,IF(OR(E949="Missing",E949="Not reached"),0,"CHECK"))))</x:f>
      </x:c>
      <x:c r="L949" s="2" t="str">
        <x:f>IF(ISNUMBER(K949),IF(AND(K949=1,I949="No"),1,0),K949)</x:f>
      </x:c>
      <x:c r="M949" s="2" t="n">
        <x:f>IF(ISNUMBER(K949),1,0)</x:f>
        <x:v>0</x:v>
      </x:c>
    </x:row>
    <x:row r="950" ht="24" customHeight="1">
      <x:c r="A950" s="2" t="str">
        <x:v>S11.01</x:v>
      </x:c>
      <x:c r="B950" s="2" t="str">
        <x:v>S11</x:v>
      </x:c>
      <x:c r="C950" s="2" t="str">
        <x:v>qwen_connected</x:v>
      </x:c>
      <x:c r="D950" s="2" t="n">
        <x:v>1</x:v>
      </x:c>
      <x:c r="E950" s="8"/>
      <x:c r="F950" s="8"/>
      <x:c r="G950" s="9"/>
      <x:c r="H950" s="9"/>
      <x:c r="I950" s="8"/>
      <x:c r="J950" s="8"/>
      <x:c r="K950" s="2" t="str">
        <x:f>IF(OR(E950="",F950="",G950="",H950="",I950="",J950=""),"",IF(E950="Harness blocked","BLOCKED",IF(AND(E950="Present",F950="Supplied"),1,IF(OR(E950="Missing",E950="Not reached"),0,"CHECK"))))</x:f>
      </x:c>
      <x:c r="L950" s="2" t="str">
        <x:f>IF(ISNUMBER(K950),IF(AND(K950=1,I950="No"),1,0),K950)</x:f>
      </x:c>
      <x:c r="M950" s="2" t="n">
        <x:f>IF(ISNUMBER(K950),1,0)</x:f>
        <x:v>0</x:v>
      </x:c>
    </x:row>
    <x:row r="951" ht="24" customHeight="1">
      <x:c r="A951" s="2" t="str">
        <x:v>S11.02</x:v>
      </x:c>
      <x:c r="B951" s="2" t="str">
        <x:v>S11</x:v>
      </x:c>
      <x:c r="C951" s="2" t="str">
        <x:v>qwen_connected</x:v>
      </x:c>
      <x:c r="D951" s="2" t="n">
        <x:v>1</x:v>
      </x:c>
      <x:c r="E951" s="8"/>
      <x:c r="F951" s="8"/>
      <x:c r="G951" s="9"/>
      <x:c r="H951" s="9"/>
      <x:c r="I951" s="8"/>
      <x:c r="J951" s="8"/>
      <x:c r="K951" s="2" t="str">
        <x:f>IF(OR(E951="",F951="",G951="",H951="",I951="",J951=""),"",IF(E951="Harness blocked","BLOCKED",IF(AND(E951="Present",F951="Supplied"),1,IF(OR(E951="Missing",E951="Not reached"),0,"CHECK"))))</x:f>
      </x:c>
      <x:c r="L951" s="2" t="str">
        <x:f>IF(ISNUMBER(K951),IF(AND(K951=1,I951="No"),1,0),K951)</x:f>
      </x:c>
      <x:c r="M951" s="2" t="n">
        <x:f>IF(ISNUMBER(K951),1,0)</x:f>
        <x:v>0</x:v>
      </x:c>
    </x:row>
    <x:row r="952" ht="24" customHeight="1">
      <x:c r="A952" s="2" t="str">
        <x:v>S11.03</x:v>
      </x:c>
      <x:c r="B952" s="2" t="str">
        <x:v>S11</x:v>
      </x:c>
      <x:c r="C952" s="2" t="str">
        <x:v>qwen_connected</x:v>
      </x:c>
      <x:c r="D952" s="2" t="n">
        <x:v>1</x:v>
      </x:c>
      <x:c r="E952" s="8"/>
      <x:c r="F952" s="8"/>
      <x:c r="G952" s="9"/>
      <x:c r="H952" s="9"/>
      <x:c r="I952" s="8"/>
      <x:c r="J952" s="8"/>
      <x:c r="K952" s="2" t="str">
        <x:f>IF(OR(E952="",F952="",G952="",H952="",I952="",J952=""),"",IF(E952="Harness blocked","BLOCKED",IF(AND(E952="Present",F952="Supplied"),1,IF(OR(E952="Missing",E952="Not reached"),0,"CHECK"))))</x:f>
      </x:c>
      <x:c r="L952" s="2" t="str">
        <x:f>IF(ISNUMBER(K952),IF(AND(K952=1,I952="No"),1,0),K952)</x:f>
      </x:c>
      <x:c r="M952" s="2" t="n">
        <x:f>IF(ISNUMBER(K952),1,0)</x:f>
        <x:v>0</x:v>
      </x:c>
    </x:row>
    <x:row r="953" ht="24" customHeight="1">
      <x:c r="A953" s="2" t="str">
        <x:v>S11.04</x:v>
      </x:c>
      <x:c r="B953" s="2" t="str">
        <x:v>S11</x:v>
      </x:c>
      <x:c r="C953" s="2" t="str">
        <x:v>qwen_connected</x:v>
      </x:c>
      <x:c r="D953" s="2" t="n">
        <x:v>1</x:v>
      </x:c>
      <x:c r="E953" s="8"/>
      <x:c r="F953" s="8"/>
      <x:c r="G953" s="9"/>
      <x:c r="H953" s="9"/>
      <x:c r="I953" s="8"/>
      <x:c r="J953" s="8"/>
      <x:c r="K953" s="2" t="str">
        <x:f>IF(OR(E953="",F953="",G953="",H953="",I953="",J953=""),"",IF(E953="Harness blocked","BLOCKED",IF(AND(E953="Present",F953="Supplied"),1,IF(OR(E953="Missing",E953="Not reached"),0,"CHECK"))))</x:f>
      </x:c>
      <x:c r="L953" s="2" t="str">
        <x:f>IF(ISNUMBER(K953),IF(AND(K953=1,I953="No"),1,0),K953)</x:f>
      </x:c>
      <x:c r="M953" s="2" t="n">
        <x:f>IF(ISNUMBER(K953),1,0)</x:f>
        <x:v>0</x:v>
      </x:c>
    </x:row>
    <x:row r="954" ht="24" customHeight="1">
      <x:c r="A954" s="2" t="str">
        <x:v>S11.05</x:v>
      </x:c>
      <x:c r="B954" s="2" t="str">
        <x:v>S11</x:v>
      </x:c>
      <x:c r="C954" s="2" t="str">
        <x:v>qwen_connected</x:v>
      </x:c>
      <x:c r="D954" s="2" t="n">
        <x:v>1</x:v>
      </x:c>
      <x:c r="E954" s="8"/>
      <x:c r="F954" s="8"/>
      <x:c r="G954" s="9"/>
      <x:c r="H954" s="9"/>
      <x:c r="I954" s="8"/>
      <x:c r="J954" s="8"/>
      <x:c r="K954" s="2" t="str">
        <x:f>IF(OR(E954="",F954="",G954="",H954="",I954="",J954=""),"",IF(E954="Harness blocked","BLOCKED",IF(AND(E954="Present",F954="Supplied"),1,IF(OR(E954="Missing",E954="Not reached"),0,"CHECK"))))</x:f>
      </x:c>
      <x:c r="L954" s="2" t="str">
        <x:f>IF(ISNUMBER(K954),IF(AND(K954=1,I954="No"),1,0),K954)</x:f>
      </x:c>
      <x:c r="M954" s="2" t="n">
        <x:f>IF(ISNUMBER(K954),1,0)</x:f>
        <x:v>0</x:v>
      </x:c>
    </x:row>
    <x:row r="955" ht="24" customHeight="1">
      <x:c r="A955" s="2" t="str">
        <x:v>S11.06</x:v>
      </x:c>
      <x:c r="B955" s="2" t="str">
        <x:v>S11</x:v>
      </x:c>
      <x:c r="C955" s="2" t="str">
        <x:v>qwen_connected</x:v>
      </x:c>
      <x:c r="D955" s="2" t="n">
        <x:v>1</x:v>
      </x:c>
      <x:c r="E955" s="8"/>
      <x:c r="F955" s="8"/>
      <x:c r="G955" s="9"/>
      <x:c r="H955" s="9"/>
      <x:c r="I955" s="8"/>
      <x:c r="J955" s="8"/>
      <x:c r="K955" s="2" t="str">
        <x:f>IF(OR(E955="",F955="",G955="",H955="",I955="",J955=""),"",IF(E955="Harness blocked","BLOCKED",IF(AND(E955="Present",F955="Supplied"),1,IF(OR(E955="Missing",E955="Not reached"),0,"CHECK"))))</x:f>
      </x:c>
      <x:c r="L955" s="2" t="str">
        <x:f>IF(ISNUMBER(K955),IF(AND(K955=1,I955="No"),1,0),K955)</x:f>
      </x:c>
      <x:c r="M955" s="2" t="n">
        <x:f>IF(ISNUMBER(K955),1,0)</x:f>
        <x:v>0</x:v>
      </x:c>
    </x:row>
    <x:row r="956" ht="24" customHeight="1">
      <x:c r="A956" s="2" t="str">
        <x:v>S11.07</x:v>
      </x:c>
      <x:c r="B956" s="2" t="str">
        <x:v>S11</x:v>
      </x:c>
      <x:c r="C956" s="2" t="str">
        <x:v>qwen_connected</x:v>
      </x:c>
      <x:c r="D956" s="2" t="n">
        <x:v>1</x:v>
      </x:c>
      <x:c r="E956" s="8"/>
      <x:c r="F956" s="8"/>
      <x:c r="G956" s="9"/>
      <x:c r="H956" s="9"/>
      <x:c r="I956" s="8"/>
      <x:c r="J956" s="8"/>
      <x:c r="K956" s="2" t="str">
        <x:f>IF(OR(E956="",F956="",G956="",H956="",I956="",J956=""),"",IF(E956="Harness blocked","BLOCKED",IF(AND(E956="Present",F956="Supplied"),1,IF(OR(E956="Missing",E956="Not reached"),0,"CHECK"))))</x:f>
      </x:c>
      <x:c r="L956" s="2" t="str">
        <x:f>IF(ISNUMBER(K956),IF(AND(K956=1,I956="No"),1,0),K956)</x:f>
      </x:c>
      <x:c r="M956" s="2" t="n">
        <x:f>IF(ISNUMBER(K956),1,0)</x:f>
        <x:v>0</x:v>
      </x:c>
    </x:row>
    <x:row r="957" ht="24" customHeight="1">
      <x:c r="A957" s="2" t="str">
        <x:v>S11.08</x:v>
      </x:c>
      <x:c r="B957" s="2" t="str">
        <x:v>S11</x:v>
      </x:c>
      <x:c r="C957" s="2" t="str">
        <x:v>qwen_connected</x:v>
      </x:c>
      <x:c r="D957" s="2" t="n">
        <x:v>1</x:v>
      </x:c>
      <x:c r="E957" s="8"/>
      <x:c r="F957" s="8"/>
      <x:c r="G957" s="9"/>
      <x:c r="H957" s="9"/>
      <x:c r="I957" s="8"/>
      <x:c r="J957" s="8"/>
      <x:c r="K957" s="2" t="str">
        <x:f>IF(OR(E957="",F957="",G957="",H957="",I957="",J957=""),"",IF(E957="Harness blocked","BLOCKED",IF(AND(E957="Present",F957="Supplied"),1,IF(OR(E957="Missing",E957="Not reached"),0,"CHECK"))))</x:f>
      </x:c>
      <x:c r="L957" s="2" t="str">
        <x:f>IF(ISNUMBER(K957),IF(AND(K957=1,I957="No"),1,0),K957)</x:f>
      </x:c>
      <x:c r="M957" s="2" t="n">
        <x:f>IF(ISNUMBER(K957),1,0)</x:f>
        <x:v>0</x:v>
      </x:c>
    </x:row>
    <x:row r="958" ht="24" customHeight="1">
      <x:c r="A958" s="2" t="str">
        <x:v>S12.01</x:v>
      </x:c>
      <x:c r="B958" s="2" t="str">
        <x:v>S12</x:v>
      </x:c>
      <x:c r="C958" s="2" t="str">
        <x:v>qwen_connected</x:v>
      </x:c>
      <x:c r="D958" s="2" t="n">
        <x:v>1</x:v>
      </x:c>
      <x:c r="E958" s="8"/>
      <x:c r="F958" s="8"/>
      <x:c r="G958" s="9"/>
      <x:c r="H958" s="9"/>
      <x:c r="I958" s="8"/>
      <x:c r="J958" s="8"/>
      <x:c r="K958" s="2" t="str">
        <x:f>IF(OR(E958="",F958="",G958="",H958="",I958="",J958=""),"",IF(E958="Harness blocked","BLOCKED",IF(AND(E958="Present",F958="Supplied"),1,IF(OR(E958="Missing",E958="Not reached"),0,"CHECK"))))</x:f>
      </x:c>
      <x:c r="L958" s="2" t="str">
        <x:f>IF(ISNUMBER(K958),IF(AND(K958=1,I958="No"),1,0),K958)</x:f>
      </x:c>
      <x:c r="M958" s="2" t="n">
        <x:f>IF(ISNUMBER(K958),1,0)</x:f>
        <x:v>0</x:v>
      </x:c>
    </x:row>
    <x:row r="959" ht="24" customHeight="1">
      <x:c r="A959" s="2" t="str">
        <x:v>S12.02</x:v>
      </x:c>
      <x:c r="B959" s="2" t="str">
        <x:v>S12</x:v>
      </x:c>
      <x:c r="C959" s="2" t="str">
        <x:v>qwen_connected</x:v>
      </x:c>
      <x:c r="D959" s="2" t="n">
        <x:v>1</x:v>
      </x:c>
      <x:c r="E959" s="8"/>
      <x:c r="F959" s="8"/>
      <x:c r="G959" s="9"/>
      <x:c r="H959" s="9"/>
      <x:c r="I959" s="8"/>
      <x:c r="J959" s="8"/>
      <x:c r="K959" s="2" t="str">
        <x:f>IF(OR(E959="",F959="",G959="",H959="",I959="",J959=""),"",IF(E959="Harness blocked","BLOCKED",IF(AND(E959="Present",F959="Supplied"),1,IF(OR(E959="Missing",E959="Not reached"),0,"CHECK"))))</x:f>
      </x:c>
      <x:c r="L959" s="2" t="str">
        <x:f>IF(ISNUMBER(K959),IF(AND(K959=1,I959="No"),1,0),K959)</x:f>
      </x:c>
      <x:c r="M959" s="2" t="n">
        <x:f>IF(ISNUMBER(K959),1,0)</x:f>
        <x:v>0</x:v>
      </x:c>
    </x:row>
    <x:row r="960" ht="24" customHeight="1">
      <x:c r="A960" s="2" t="str">
        <x:v>S12.03</x:v>
      </x:c>
      <x:c r="B960" s="2" t="str">
        <x:v>S12</x:v>
      </x:c>
      <x:c r="C960" s="2" t="str">
        <x:v>qwen_connected</x:v>
      </x:c>
      <x:c r="D960" s="2" t="n">
        <x:v>1</x:v>
      </x:c>
      <x:c r="E960" s="8"/>
      <x:c r="F960" s="8"/>
      <x:c r="G960" s="9"/>
      <x:c r="H960" s="9"/>
      <x:c r="I960" s="8"/>
      <x:c r="J960" s="8"/>
      <x:c r="K960" s="2" t="str">
        <x:f>IF(OR(E960="",F960="",G960="",H960="",I960="",J960=""),"",IF(E960="Harness blocked","BLOCKED",IF(AND(E960="Present",F960="Supplied"),1,IF(OR(E960="Missing",E960="Not reached"),0,"CHECK"))))</x:f>
      </x:c>
      <x:c r="L960" s="2" t="str">
        <x:f>IF(ISNUMBER(K960),IF(AND(K960=1,I960="No"),1,0),K960)</x:f>
      </x:c>
      <x:c r="M960" s="2" t="n">
        <x:f>IF(ISNUMBER(K960),1,0)</x:f>
        <x:v>0</x:v>
      </x:c>
    </x:row>
    <x:row r="961" ht="24" customHeight="1">
      <x:c r="A961" s="2" t="str">
        <x:v>S12.04</x:v>
      </x:c>
      <x:c r="B961" s="2" t="str">
        <x:v>S12</x:v>
      </x:c>
      <x:c r="C961" s="2" t="str">
        <x:v>qwen_connected</x:v>
      </x:c>
      <x:c r="D961" s="2" t="n">
        <x:v>1</x:v>
      </x:c>
      <x:c r="E961" s="8"/>
      <x:c r="F961" s="8"/>
      <x:c r="G961" s="9"/>
      <x:c r="H961" s="9"/>
      <x:c r="I961" s="8"/>
      <x:c r="J961" s="8"/>
      <x:c r="K961" s="2" t="str">
        <x:f>IF(OR(E961="",F961="",G961="",H961="",I961="",J961=""),"",IF(E961="Harness blocked","BLOCKED",IF(AND(E961="Present",F961="Supplied"),1,IF(OR(E961="Missing",E961="Not reached"),0,"CHECK"))))</x:f>
      </x:c>
      <x:c r="L961" s="2" t="str">
        <x:f>IF(ISNUMBER(K961),IF(AND(K961=1,I961="No"),1,0),K961)</x:f>
      </x:c>
      <x:c r="M961" s="2" t="n">
        <x:f>IF(ISNUMBER(K961),1,0)</x:f>
        <x:v>0</x:v>
      </x:c>
    </x:row>
    <x:row r="962" ht="24" customHeight="1">
      <x:c r="A962" s="2" t="str">
        <x:v>S12.05</x:v>
      </x:c>
      <x:c r="B962" s="2" t="str">
        <x:v>S12</x:v>
      </x:c>
      <x:c r="C962" s="2" t="str">
        <x:v>qwen_connected</x:v>
      </x:c>
      <x:c r="D962" s="2" t="n">
        <x:v>1</x:v>
      </x:c>
      <x:c r="E962" s="8"/>
      <x:c r="F962" s="8"/>
      <x:c r="G962" s="9"/>
      <x:c r="H962" s="9"/>
      <x:c r="I962" s="8"/>
      <x:c r="J962" s="8"/>
      <x:c r="K962" s="2" t="str">
        <x:f>IF(OR(E962="",F962="",G962="",H962="",I962="",J962=""),"",IF(E962="Harness blocked","BLOCKED",IF(AND(E962="Present",F962="Supplied"),1,IF(OR(E962="Missing",E962="Not reached"),0,"CHECK"))))</x:f>
      </x:c>
      <x:c r="L962" s="2" t="str">
        <x:f>IF(ISNUMBER(K962),IF(AND(K962=1,I962="No"),1,0),K962)</x:f>
      </x:c>
      <x:c r="M962" s="2" t="n">
        <x:f>IF(ISNUMBER(K962),1,0)</x:f>
        <x:v>0</x:v>
      </x:c>
    </x:row>
    <x:row r="963" ht="24" customHeight="1">
      <x:c r="A963" s="2" t="str">
        <x:v>S12.06</x:v>
      </x:c>
      <x:c r="B963" s="2" t="str">
        <x:v>S12</x:v>
      </x:c>
      <x:c r="C963" s="2" t="str">
        <x:v>qwen_connected</x:v>
      </x:c>
      <x:c r="D963" s="2" t="n">
        <x:v>1</x:v>
      </x:c>
      <x:c r="E963" s="8"/>
      <x:c r="F963" s="8"/>
      <x:c r="G963" s="9"/>
      <x:c r="H963" s="9"/>
      <x:c r="I963" s="8"/>
      <x:c r="J963" s="8"/>
      <x:c r="K963" s="2" t="str">
        <x:f>IF(OR(E963="",F963="",G963="",H963="",I963="",J963=""),"",IF(E963="Harness blocked","BLOCKED",IF(AND(E963="Present",F963="Supplied"),1,IF(OR(E963="Missing",E963="Not reached"),0,"CHECK"))))</x:f>
      </x:c>
      <x:c r="L963" s="2" t="str">
        <x:f>IF(ISNUMBER(K963),IF(AND(K963=1,I963="No"),1,0),K963)</x:f>
      </x:c>
      <x:c r="M963" s="2" t="n">
        <x:f>IF(ISNUMBER(K963),1,0)</x:f>
        <x:v>0</x:v>
      </x:c>
    </x:row>
    <x:row r="964" ht="24" customHeight="1">
      <x:c r="A964" s="2" t="str">
        <x:v>S12.07</x:v>
      </x:c>
      <x:c r="B964" s="2" t="str">
        <x:v>S12</x:v>
      </x:c>
      <x:c r="C964" s="2" t="str">
        <x:v>qwen_connected</x:v>
      </x:c>
      <x:c r="D964" s="2" t="n">
        <x:v>1</x:v>
      </x:c>
      <x:c r="E964" s="8"/>
      <x:c r="F964" s="8"/>
      <x:c r="G964" s="9"/>
      <x:c r="H964" s="9"/>
      <x:c r="I964" s="8"/>
      <x:c r="J964" s="8"/>
      <x:c r="K964" s="2" t="str">
        <x:f>IF(OR(E964="",F964="",G964="",H964="",I964="",J964=""),"",IF(E964="Harness blocked","BLOCKED",IF(AND(E964="Present",F964="Supplied"),1,IF(OR(E964="Missing",E964="Not reached"),0,"CHECK"))))</x:f>
      </x:c>
      <x:c r="L964" s="2" t="str">
        <x:f>IF(ISNUMBER(K964),IF(AND(K964=1,I964="No"),1,0),K964)</x:f>
      </x:c>
      <x:c r="M964" s="2" t="n">
        <x:f>IF(ISNUMBER(K964),1,0)</x:f>
        <x:v>0</x:v>
      </x:c>
    </x:row>
    <x:row r="965" ht="24" customHeight="1">
      <x:c r="A965" s="2" t="str">
        <x:v>S12.08</x:v>
      </x:c>
      <x:c r="B965" s="2" t="str">
        <x:v>S12</x:v>
      </x:c>
      <x:c r="C965" s="2" t="str">
        <x:v>qwen_connected</x:v>
      </x:c>
      <x:c r="D965" s="2" t="n">
        <x:v>1</x:v>
      </x:c>
      <x:c r="E965" s="8"/>
      <x:c r="F965" s="8"/>
      <x:c r="G965" s="9"/>
      <x:c r="H965" s="9"/>
      <x:c r="I965" s="8"/>
      <x:c r="J965" s="8"/>
      <x:c r="K965" s="2" t="str">
        <x:f>IF(OR(E965="",F965="",G965="",H965="",I965="",J965=""),"",IF(E965="Harness blocked","BLOCKED",IF(AND(E965="Present",F965="Supplied"),1,IF(OR(E965="Missing",E965="Not reached"),0,"CHECK"))))</x:f>
      </x:c>
      <x:c r="L965" s="2" t="str">
        <x:f>IF(ISNUMBER(K965),IF(AND(K965=1,I965="No"),1,0),K965)</x:f>
      </x:c>
      <x:c r="M965" s="2" t="n">
        <x:f>IF(ISNUMBER(K965),1,0)</x:f>
        <x:v>0</x:v>
      </x:c>
    </x:row>
    <x:row r="966" ht="24" customHeight="1">
      <x:c r="A966" s="2" t="str">
        <x:v>S01.01</x:v>
      </x:c>
      <x:c r="B966" s="2" t="str">
        <x:v>S01</x:v>
      </x:c>
      <x:c r="C966" s="2" t="str">
        <x:v>qwen_connected</x:v>
      </x:c>
      <x:c r="D966" s="2" t="n">
        <x:v>2</x:v>
      </x:c>
      <x:c r="E966" s="8"/>
      <x:c r="F966" s="8"/>
      <x:c r="G966" s="9"/>
      <x:c r="H966" s="9"/>
      <x:c r="I966" s="8"/>
      <x:c r="J966" s="8"/>
      <x:c r="K966" s="2" t="str">
        <x:f>IF(OR(E966="",F966="",G966="",H966="",I966="",J966=""),"",IF(E966="Harness blocked","BLOCKED",IF(AND(E966="Present",F966="Supplied"),1,IF(OR(E966="Missing",E966="Not reached"),0,"CHECK"))))</x:f>
      </x:c>
      <x:c r="L966" s="2" t="str">
        <x:f>IF(ISNUMBER(K966),IF(AND(K966=1,I966="No"),1,0),K966)</x:f>
      </x:c>
      <x:c r="M966" s="2" t="n">
        <x:f>IF(ISNUMBER(K966),1,0)</x:f>
        <x:v>0</x:v>
      </x:c>
    </x:row>
    <x:row r="967" ht="24" customHeight="1">
      <x:c r="A967" s="2" t="str">
        <x:v>S01.02</x:v>
      </x:c>
      <x:c r="B967" s="2" t="str">
        <x:v>S01</x:v>
      </x:c>
      <x:c r="C967" s="2" t="str">
        <x:v>qwen_connected</x:v>
      </x:c>
      <x:c r="D967" s="2" t="n">
        <x:v>2</x:v>
      </x:c>
      <x:c r="E967" s="8"/>
      <x:c r="F967" s="8"/>
      <x:c r="G967" s="9"/>
      <x:c r="H967" s="9"/>
      <x:c r="I967" s="8"/>
      <x:c r="J967" s="8"/>
      <x:c r="K967" s="2" t="str">
        <x:f>IF(OR(E967="",F967="",G967="",H967="",I967="",J967=""),"",IF(E967="Harness blocked","BLOCKED",IF(AND(E967="Present",F967="Supplied"),1,IF(OR(E967="Missing",E967="Not reached"),0,"CHECK"))))</x:f>
      </x:c>
      <x:c r="L967" s="2" t="str">
        <x:f>IF(ISNUMBER(K967),IF(AND(K967=1,I967="No"),1,0),K967)</x:f>
      </x:c>
      <x:c r="M967" s="2" t="n">
        <x:f>IF(ISNUMBER(K967),1,0)</x:f>
        <x:v>0</x:v>
      </x:c>
    </x:row>
    <x:row r="968" ht="24" customHeight="1">
      <x:c r="A968" s="2" t="str">
        <x:v>S01.03</x:v>
      </x:c>
      <x:c r="B968" s="2" t="str">
        <x:v>S01</x:v>
      </x:c>
      <x:c r="C968" s="2" t="str">
        <x:v>qwen_connected</x:v>
      </x:c>
      <x:c r="D968" s="2" t="n">
        <x:v>2</x:v>
      </x:c>
      <x:c r="E968" s="8"/>
      <x:c r="F968" s="8"/>
      <x:c r="G968" s="9"/>
      <x:c r="H968" s="9"/>
      <x:c r="I968" s="8"/>
      <x:c r="J968" s="8"/>
      <x:c r="K968" s="2" t="str">
        <x:f>IF(OR(E968="",F968="",G968="",H968="",I968="",J968=""),"",IF(E968="Harness blocked","BLOCKED",IF(AND(E968="Present",F968="Supplied"),1,IF(OR(E968="Missing",E968="Not reached"),0,"CHECK"))))</x:f>
      </x:c>
      <x:c r="L968" s="2" t="str">
        <x:f>IF(ISNUMBER(K968),IF(AND(K968=1,I968="No"),1,0),K968)</x:f>
      </x:c>
      <x:c r="M968" s="2" t="n">
        <x:f>IF(ISNUMBER(K968),1,0)</x:f>
        <x:v>0</x:v>
      </x:c>
    </x:row>
    <x:row r="969" ht="24" customHeight="1">
      <x:c r="A969" s="2" t="str">
        <x:v>S01.04</x:v>
      </x:c>
      <x:c r="B969" s="2" t="str">
        <x:v>S01</x:v>
      </x:c>
      <x:c r="C969" s="2" t="str">
        <x:v>qwen_connected</x:v>
      </x:c>
      <x:c r="D969" s="2" t="n">
        <x:v>2</x:v>
      </x:c>
      <x:c r="E969" s="8"/>
      <x:c r="F969" s="8"/>
      <x:c r="G969" s="9"/>
      <x:c r="H969" s="9"/>
      <x:c r="I969" s="8"/>
      <x:c r="J969" s="8"/>
      <x:c r="K969" s="2" t="str">
        <x:f>IF(OR(E969="",F969="",G969="",H969="",I969="",J969=""),"",IF(E969="Harness blocked","BLOCKED",IF(AND(E969="Present",F969="Supplied"),1,IF(OR(E969="Missing",E969="Not reached"),0,"CHECK"))))</x:f>
      </x:c>
      <x:c r="L969" s="2" t="str">
        <x:f>IF(ISNUMBER(K969),IF(AND(K969=1,I969="No"),1,0),K969)</x:f>
      </x:c>
      <x:c r="M969" s="2" t="n">
        <x:f>IF(ISNUMBER(K969),1,0)</x:f>
        <x:v>0</x:v>
      </x:c>
    </x:row>
    <x:row r="970" ht="24" customHeight="1">
      <x:c r="A970" s="2" t="str">
        <x:v>S01.05</x:v>
      </x:c>
      <x:c r="B970" s="2" t="str">
        <x:v>S01</x:v>
      </x:c>
      <x:c r="C970" s="2" t="str">
        <x:v>qwen_connected</x:v>
      </x:c>
      <x:c r="D970" s="2" t="n">
        <x:v>2</x:v>
      </x:c>
      <x:c r="E970" s="8"/>
      <x:c r="F970" s="8"/>
      <x:c r="G970" s="9"/>
      <x:c r="H970" s="9"/>
      <x:c r="I970" s="8"/>
      <x:c r="J970" s="8"/>
      <x:c r="K970" s="2" t="str">
        <x:f>IF(OR(E970="",F970="",G970="",H970="",I970="",J970=""),"",IF(E970="Harness blocked","BLOCKED",IF(AND(E970="Present",F970="Supplied"),1,IF(OR(E970="Missing",E970="Not reached"),0,"CHECK"))))</x:f>
      </x:c>
      <x:c r="L970" s="2" t="str">
        <x:f>IF(ISNUMBER(K970),IF(AND(K970=1,I970="No"),1,0),K970)</x:f>
      </x:c>
      <x:c r="M970" s="2" t="n">
        <x:f>IF(ISNUMBER(K970),1,0)</x:f>
        <x:v>0</x:v>
      </x:c>
    </x:row>
    <x:row r="971" ht="24" customHeight="1">
      <x:c r="A971" s="2" t="str">
        <x:v>S01.06</x:v>
      </x:c>
      <x:c r="B971" s="2" t="str">
        <x:v>S01</x:v>
      </x:c>
      <x:c r="C971" s="2" t="str">
        <x:v>qwen_connected</x:v>
      </x:c>
      <x:c r="D971" s="2" t="n">
        <x:v>2</x:v>
      </x:c>
      <x:c r="E971" s="8"/>
      <x:c r="F971" s="8"/>
      <x:c r="G971" s="9"/>
      <x:c r="H971" s="9"/>
      <x:c r="I971" s="8"/>
      <x:c r="J971" s="8"/>
      <x:c r="K971" s="2" t="str">
        <x:f>IF(OR(E971="",F971="",G971="",H971="",I971="",J971=""),"",IF(E971="Harness blocked","BLOCKED",IF(AND(E971="Present",F971="Supplied"),1,IF(OR(E971="Missing",E971="Not reached"),0,"CHECK"))))</x:f>
      </x:c>
      <x:c r="L971" s="2" t="str">
        <x:f>IF(ISNUMBER(K971),IF(AND(K971=1,I971="No"),1,0),K971)</x:f>
      </x:c>
      <x:c r="M971" s="2" t="n">
        <x:f>IF(ISNUMBER(K971),1,0)</x:f>
        <x:v>0</x:v>
      </x:c>
    </x:row>
    <x:row r="972" ht="24" customHeight="1">
      <x:c r="A972" s="2" t="str">
        <x:v>S01.07</x:v>
      </x:c>
      <x:c r="B972" s="2" t="str">
        <x:v>S01</x:v>
      </x:c>
      <x:c r="C972" s="2" t="str">
        <x:v>qwen_connected</x:v>
      </x:c>
      <x:c r="D972" s="2" t="n">
        <x:v>2</x:v>
      </x:c>
      <x:c r="E972" s="8"/>
      <x:c r="F972" s="8"/>
      <x:c r="G972" s="9"/>
      <x:c r="H972" s="9"/>
      <x:c r="I972" s="8"/>
      <x:c r="J972" s="8"/>
      <x:c r="K972" s="2" t="str">
        <x:f>IF(OR(E972="",F972="",G972="",H972="",I972="",J972=""),"",IF(E972="Harness blocked","BLOCKED",IF(AND(E972="Present",F972="Supplied"),1,IF(OR(E972="Missing",E972="Not reached"),0,"CHECK"))))</x:f>
      </x:c>
      <x:c r="L972" s="2" t="str">
        <x:f>IF(ISNUMBER(K972),IF(AND(K972=1,I972="No"),1,0),K972)</x:f>
      </x:c>
      <x:c r="M972" s="2" t="n">
        <x:f>IF(ISNUMBER(K972),1,0)</x:f>
        <x:v>0</x:v>
      </x:c>
    </x:row>
    <x:row r="973" ht="24" customHeight="1">
      <x:c r="A973" s="2" t="str">
        <x:v>S01.08</x:v>
      </x:c>
      <x:c r="B973" s="2" t="str">
        <x:v>S01</x:v>
      </x:c>
      <x:c r="C973" s="2" t="str">
        <x:v>qwen_connected</x:v>
      </x:c>
      <x:c r="D973" s="2" t="n">
        <x:v>2</x:v>
      </x:c>
      <x:c r="E973" s="8"/>
      <x:c r="F973" s="8"/>
      <x:c r="G973" s="9"/>
      <x:c r="H973" s="9"/>
      <x:c r="I973" s="8"/>
      <x:c r="J973" s="8"/>
      <x:c r="K973" s="2" t="str">
        <x:f>IF(OR(E973="",F973="",G973="",H973="",I973="",J973=""),"",IF(E973="Harness blocked","BLOCKED",IF(AND(E973="Present",F973="Supplied"),1,IF(OR(E973="Missing",E973="Not reached"),0,"CHECK"))))</x:f>
      </x:c>
      <x:c r="L973" s="2" t="str">
        <x:f>IF(ISNUMBER(K973),IF(AND(K973=1,I973="No"),1,0),K973)</x:f>
      </x:c>
      <x:c r="M973" s="2" t="n">
        <x:f>IF(ISNUMBER(K973),1,0)</x:f>
        <x:v>0</x:v>
      </x:c>
    </x:row>
    <x:row r="974" ht="24" customHeight="1">
      <x:c r="A974" s="2" t="str">
        <x:v>S02.01</x:v>
      </x:c>
      <x:c r="B974" s="2" t="str">
        <x:v>S02</x:v>
      </x:c>
      <x:c r="C974" s="2" t="str">
        <x:v>qwen_connected</x:v>
      </x:c>
      <x:c r="D974" s="2" t="n">
        <x:v>2</x:v>
      </x:c>
      <x:c r="E974" s="8"/>
      <x:c r="F974" s="8"/>
      <x:c r="G974" s="9"/>
      <x:c r="H974" s="9"/>
      <x:c r="I974" s="8"/>
      <x:c r="J974" s="8"/>
      <x:c r="K974" s="2" t="str">
        <x:f>IF(OR(E974="",F974="",G974="",H974="",I974="",J974=""),"",IF(E974="Harness blocked","BLOCKED",IF(AND(E974="Present",F974="Supplied"),1,IF(OR(E974="Missing",E974="Not reached"),0,"CHECK"))))</x:f>
      </x:c>
      <x:c r="L974" s="2" t="str">
        <x:f>IF(ISNUMBER(K974),IF(AND(K974=1,I974="No"),1,0),K974)</x:f>
      </x:c>
      <x:c r="M974" s="2" t="n">
        <x:f>IF(ISNUMBER(K974),1,0)</x:f>
        <x:v>0</x:v>
      </x:c>
    </x:row>
    <x:row r="975" ht="24" customHeight="1">
      <x:c r="A975" s="2" t="str">
        <x:v>S02.02</x:v>
      </x:c>
      <x:c r="B975" s="2" t="str">
        <x:v>S02</x:v>
      </x:c>
      <x:c r="C975" s="2" t="str">
        <x:v>qwen_connected</x:v>
      </x:c>
      <x:c r="D975" s="2" t="n">
        <x:v>2</x:v>
      </x:c>
      <x:c r="E975" s="8"/>
      <x:c r="F975" s="8"/>
      <x:c r="G975" s="9"/>
      <x:c r="H975" s="9"/>
      <x:c r="I975" s="8"/>
      <x:c r="J975" s="8"/>
      <x:c r="K975" s="2" t="str">
        <x:f>IF(OR(E975="",F975="",G975="",H975="",I975="",J975=""),"",IF(E975="Harness blocked","BLOCKED",IF(AND(E975="Present",F975="Supplied"),1,IF(OR(E975="Missing",E975="Not reached"),0,"CHECK"))))</x:f>
      </x:c>
      <x:c r="L975" s="2" t="str">
        <x:f>IF(ISNUMBER(K975),IF(AND(K975=1,I975="No"),1,0),K975)</x:f>
      </x:c>
      <x:c r="M975" s="2" t="n">
        <x:f>IF(ISNUMBER(K975),1,0)</x:f>
        <x:v>0</x:v>
      </x:c>
    </x:row>
    <x:row r="976" ht="24" customHeight="1">
      <x:c r="A976" s="2" t="str">
        <x:v>S02.03</x:v>
      </x:c>
      <x:c r="B976" s="2" t="str">
        <x:v>S02</x:v>
      </x:c>
      <x:c r="C976" s="2" t="str">
        <x:v>qwen_connected</x:v>
      </x:c>
      <x:c r="D976" s="2" t="n">
        <x:v>2</x:v>
      </x:c>
      <x:c r="E976" s="8"/>
      <x:c r="F976" s="8"/>
      <x:c r="G976" s="9"/>
      <x:c r="H976" s="9"/>
      <x:c r="I976" s="8"/>
      <x:c r="J976" s="8"/>
      <x:c r="K976" s="2" t="str">
        <x:f>IF(OR(E976="",F976="",G976="",H976="",I976="",J976=""),"",IF(E976="Harness blocked","BLOCKED",IF(AND(E976="Present",F976="Supplied"),1,IF(OR(E976="Missing",E976="Not reached"),0,"CHECK"))))</x:f>
      </x:c>
      <x:c r="L976" s="2" t="str">
        <x:f>IF(ISNUMBER(K976),IF(AND(K976=1,I976="No"),1,0),K976)</x:f>
      </x:c>
      <x:c r="M976" s="2" t="n">
        <x:f>IF(ISNUMBER(K976),1,0)</x:f>
        <x:v>0</x:v>
      </x:c>
    </x:row>
    <x:row r="977" ht="24" customHeight="1">
      <x:c r="A977" s="2" t="str">
        <x:v>S02.04</x:v>
      </x:c>
      <x:c r="B977" s="2" t="str">
        <x:v>S02</x:v>
      </x:c>
      <x:c r="C977" s="2" t="str">
        <x:v>qwen_connected</x:v>
      </x:c>
      <x:c r="D977" s="2" t="n">
        <x:v>2</x:v>
      </x:c>
      <x:c r="E977" s="8"/>
      <x:c r="F977" s="8"/>
      <x:c r="G977" s="9"/>
      <x:c r="H977" s="9"/>
      <x:c r="I977" s="8"/>
      <x:c r="J977" s="8"/>
      <x:c r="K977" s="2" t="str">
        <x:f>IF(OR(E977="",F977="",G977="",H977="",I977="",J977=""),"",IF(E977="Harness blocked","BLOCKED",IF(AND(E977="Present",F977="Supplied"),1,IF(OR(E977="Missing",E977="Not reached"),0,"CHECK"))))</x:f>
      </x:c>
      <x:c r="L977" s="2" t="str">
        <x:f>IF(ISNUMBER(K977),IF(AND(K977=1,I977="No"),1,0),K977)</x:f>
      </x:c>
      <x:c r="M977" s="2" t="n">
        <x:f>IF(ISNUMBER(K977),1,0)</x:f>
        <x:v>0</x:v>
      </x:c>
    </x:row>
    <x:row r="978" ht="24" customHeight="1">
      <x:c r="A978" s="2" t="str">
        <x:v>S02.05</x:v>
      </x:c>
      <x:c r="B978" s="2" t="str">
        <x:v>S02</x:v>
      </x:c>
      <x:c r="C978" s="2" t="str">
        <x:v>qwen_connected</x:v>
      </x:c>
      <x:c r="D978" s="2" t="n">
        <x:v>2</x:v>
      </x:c>
      <x:c r="E978" s="8"/>
      <x:c r="F978" s="8"/>
      <x:c r="G978" s="9"/>
      <x:c r="H978" s="9"/>
      <x:c r="I978" s="8"/>
      <x:c r="J978" s="8"/>
      <x:c r="K978" s="2" t="str">
        <x:f>IF(OR(E978="",F978="",G978="",H978="",I978="",J978=""),"",IF(E978="Harness blocked","BLOCKED",IF(AND(E978="Present",F978="Supplied"),1,IF(OR(E978="Missing",E978="Not reached"),0,"CHECK"))))</x:f>
      </x:c>
      <x:c r="L978" s="2" t="str">
        <x:f>IF(ISNUMBER(K978),IF(AND(K978=1,I978="No"),1,0),K978)</x:f>
      </x:c>
      <x:c r="M978" s="2" t="n">
        <x:f>IF(ISNUMBER(K978),1,0)</x:f>
        <x:v>0</x:v>
      </x:c>
    </x:row>
    <x:row r="979" ht="24" customHeight="1">
      <x:c r="A979" s="2" t="str">
        <x:v>S02.06</x:v>
      </x:c>
      <x:c r="B979" s="2" t="str">
        <x:v>S02</x:v>
      </x:c>
      <x:c r="C979" s="2" t="str">
        <x:v>qwen_connected</x:v>
      </x:c>
      <x:c r="D979" s="2" t="n">
        <x:v>2</x:v>
      </x:c>
      <x:c r="E979" s="8"/>
      <x:c r="F979" s="8"/>
      <x:c r="G979" s="9"/>
      <x:c r="H979" s="9"/>
      <x:c r="I979" s="8"/>
      <x:c r="J979" s="8"/>
      <x:c r="K979" s="2" t="str">
        <x:f>IF(OR(E979="",F979="",G979="",H979="",I979="",J979=""),"",IF(E979="Harness blocked","BLOCKED",IF(AND(E979="Present",F979="Supplied"),1,IF(OR(E979="Missing",E979="Not reached"),0,"CHECK"))))</x:f>
      </x:c>
      <x:c r="L979" s="2" t="str">
        <x:f>IF(ISNUMBER(K979),IF(AND(K979=1,I979="No"),1,0),K979)</x:f>
      </x:c>
      <x:c r="M979" s="2" t="n">
        <x:f>IF(ISNUMBER(K979),1,0)</x:f>
        <x:v>0</x:v>
      </x:c>
    </x:row>
    <x:row r="980" ht="24" customHeight="1">
      <x:c r="A980" s="2" t="str">
        <x:v>S02.07</x:v>
      </x:c>
      <x:c r="B980" s="2" t="str">
        <x:v>S02</x:v>
      </x:c>
      <x:c r="C980" s="2" t="str">
        <x:v>qwen_connected</x:v>
      </x:c>
      <x:c r="D980" s="2" t="n">
        <x:v>2</x:v>
      </x:c>
      <x:c r="E980" s="8"/>
      <x:c r="F980" s="8"/>
      <x:c r="G980" s="9"/>
      <x:c r="H980" s="9"/>
      <x:c r="I980" s="8"/>
      <x:c r="J980" s="8"/>
      <x:c r="K980" s="2" t="str">
        <x:f>IF(OR(E980="",F980="",G980="",H980="",I980="",J980=""),"",IF(E980="Harness blocked","BLOCKED",IF(AND(E980="Present",F980="Supplied"),1,IF(OR(E980="Missing",E980="Not reached"),0,"CHECK"))))</x:f>
      </x:c>
      <x:c r="L980" s="2" t="str">
        <x:f>IF(ISNUMBER(K980),IF(AND(K980=1,I980="No"),1,0),K980)</x:f>
      </x:c>
      <x:c r="M980" s="2" t="n">
        <x:f>IF(ISNUMBER(K980),1,0)</x:f>
        <x:v>0</x:v>
      </x:c>
    </x:row>
    <x:row r="981" ht="24" customHeight="1">
      <x:c r="A981" s="2" t="str">
        <x:v>S02.08</x:v>
      </x:c>
      <x:c r="B981" s="2" t="str">
        <x:v>S02</x:v>
      </x:c>
      <x:c r="C981" s="2" t="str">
        <x:v>qwen_connected</x:v>
      </x:c>
      <x:c r="D981" s="2" t="n">
        <x:v>2</x:v>
      </x:c>
      <x:c r="E981" s="8"/>
      <x:c r="F981" s="8"/>
      <x:c r="G981" s="9"/>
      <x:c r="H981" s="9"/>
      <x:c r="I981" s="8"/>
      <x:c r="J981" s="8"/>
      <x:c r="K981" s="2" t="str">
        <x:f>IF(OR(E981="",F981="",G981="",H981="",I981="",J981=""),"",IF(E981="Harness blocked","BLOCKED",IF(AND(E981="Present",F981="Supplied"),1,IF(OR(E981="Missing",E981="Not reached"),0,"CHECK"))))</x:f>
      </x:c>
      <x:c r="L981" s="2" t="str">
        <x:f>IF(ISNUMBER(K981),IF(AND(K981=1,I981="No"),1,0),K981)</x:f>
      </x:c>
      <x:c r="M981" s="2" t="n">
        <x:f>IF(ISNUMBER(K981),1,0)</x:f>
        <x:v>0</x:v>
      </x:c>
    </x:row>
    <x:row r="982" ht="24" customHeight="1">
      <x:c r="A982" s="2" t="str">
        <x:v>S03.01</x:v>
      </x:c>
      <x:c r="B982" s="2" t="str">
        <x:v>S03</x:v>
      </x:c>
      <x:c r="C982" s="2" t="str">
        <x:v>qwen_connected</x:v>
      </x:c>
      <x:c r="D982" s="2" t="n">
        <x:v>2</x:v>
      </x:c>
      <x:c r="E982" s="8"/>
      <x:c r="F982" s="8"/>
      <x:c r="G982" s="9"/>
      <x:c r="H982" s="9"/>
      <x:c r="I982" s="8"/>
      <x:c r="J982" s="8"/>
      <x:c r="K982" s="2" t="str">
        <x:f>IF(OR(E982="",F982="",G982="",H982="",I982="",J982=""),"",IF(E982="Harness blocked","BLOCKED",IF(AND(E982="Present",F982="Supplied"),1,IF(OR(E982="Missing",E982="Not reached"),0,"CHECK"))))</x:f>
      </x:c>
      <x:c r="L982" s="2" t="str">
        <x:f>IF(ISNUMBER(K982),IF(AND(K982=1,I982="No"),1,0),K982)</x:f>
      </x:c>
      <x:c r="M982" s="2" t="n">
        <x:f>IF(ISNUMBER(K982),1,0)</x:f>
        <x:v>0</x:v>
      </x:c>
    </x:row>
    <x:row r="983" ht="24" customHeight="1">
      <x:c r="A983" s="2" t="str">
        <x:v>S03.02</x:v>
      </x:c>
      <x:c r="B983" s="2" t="str">
        <x:v>S03</x:v>
      </x:c>
      <x:c r="C983" s="2" t="str">
        <x:v>qwen_connected</x:v>
      </x:c>
      <x:c r="D983" s="2" t="n">
        <x:v>2</x:v>
      </x:c>
      <x:c r="E983" s="8"/>
      <x:c r="F983" s="8"/>
      <x:c r="G983" s="9"/>
      <x:c r="H983" s="9"/>
      <x:c r="I983" s="8"/>
      <x:c r="J983" s="8"/>
      <x:c r="K983" s="2" t="str">
        <x:f>IF(OR(E983="",F983="",G983="",H983="",I983="",J983=""),"",IF(E983="Harness blocked","BLOCKED",IF(AND(E983="Present",F983="Supplied"),1,IF(OR(E983="Missing",E983="Not reached"),0,"CHECK"))))</x:f>
      </x:c>
      <x:c r="L983" s="2" t="str">
        <x:f>IF(ISNUMBER(K983),IF(AND(K983=1,I983="No"),1,0),K983)</x:f>
      </x:c>
      <x:c r="M983" s="2" t="n">
        <x:f>IF(ISNUMBER(K983),1,0)</x:f>
        <x:v>0</x:v>
      </x:c>
    </x:row>
    <x:row r="984" ht="24" customHeight="1">
      <x:c r="A984" s="2" t="str">
        <x:v>S03.03</x:v>
      </x:c>
      <x:c r="B984" s="2" t="str">
        <x:v>S03</x:v>
      </x:c>
      <x:c r="C984" s="2" t="str">
        <x:v>qwen_connected</x:v>
      </x:c>
      <x:c r="D984" s="2" t="n">
        <x:v>2</x:v>
      </x:c>
      <x:c r="E984" s="8"/>
      <x:c r="F984" s="8"/>
      <x:c r="G984" s="9"/>
      <x:c r="H984" s="9"/>
      <x:c r="I984" s="8"/>
      <x:c r="J984" s="8"/>
      <x:c r="K984" s="2" t="str">
        <x:f>IF(OR(E984="",F984="",G984="",H984="",I984="",J984=""),"",IF(E984="Harness blocked","BLOCKED",IF(AND(E984="Present",F984="Supplied"),1,IF(OR(E984="Missing",E984="Not reached"),0,"CHECK"))))</x:f>
      </x:c>
      <x:c r="L984" s="2" t="str">
        <x:f>IF(ISNUMBER(K984),IF(AND(K984=1,I984="No"),1,0),K984)</x:f>
      </x:c>
      <x:c r="M984" s="2" t="n">
        <x:f>IF(ISNUMBER(K984),1,0)</x:f>
        <x:v>0</x:v>
      </x:c>
    </x:row>
    <x:row r="985" ht="24" customHeight="1">
      <x:c r="A985" s="2" t="str">
        <x:v>S03.04</x:v>
      </x:c>
      <x:c r="B985" s="2" t="str">
        <x:v>S03</x:v>
      </x:c>
      <x:c r="C985" s="2" t="str">
        <x:v>qwen_connected</x:v>
      </x:c>
      <x:c r="D985" s="2" t="n">
        <x:v>2</x:v>
      </x:c>
      <x:c r="E985" s="8"/>
      <x:c r="F985" s="8"/>
      <x:c r="G985" s="9"/>
      <x:c r="H985" s="9"/>
      <x:c r="I985" s="8"/>
      <x:c r="J985" s="8"/>
      <x:c r="K985" s="2" t="str">
        <x:f>IF(OR(E985="",F985="",G985="",H985="",I985="",J985=""),"",IF(E985="Harness blocked","BLOCKED",IF(AND(E985="Present",F985="Supplied"),1,IF(OR(E985="Missing",E985="Not reached"),0,"CHECK"))))</x:f>
      </x:c>
      <x:c r="L985" s="2" t="str">
        <x:f>IF(ISNUMBER(K985),IF(AND(K985=1,I985="No"),1,0),K985)</x:f>
      </x:c>
      <x:c r="M985" s="2" t="n">
        <x:f>IF(ISNUMBER(K985),1,0)</x:f>
        <x:v>0</x:v>
      </x:c>
    </x:row>
    <x:row r="986" ht="24" customHeight="1">
      <x:c r="A986" s="2" t="str">
        <x:v>S03.05</x:v>
      </x:c>
      <x:c r="B986" s="2" t="str">
        <x:v>S03</x:v>
      </x:c>
      <x:c r="C986" s="2" t="str">
        <x:v>qwen_connected</x:v>
      </x:c>
      <x:c r="D986" s="2" t="n">
        <x:v>2</x:v>
      </x:c>
      <x:c r="E986" s="8"/>
      <x:c r="F986" s="8"/>
      <x:c r="G986" s="9"/>
      <x:c r="H986" s="9"/>
      <x:c r="I986" s="8"/>
      <x:c r="J986" s="8"/>
      <x:c r="K986" s="2" t="str">
        <x:f>IF(OR(E986="",F986="",G986="",H986="",I986="",J986=""),"",IF(E986="Harness blocked","BLOCKED",IF(AND(E986="Present",F986="Supplied"),1,IF(OR(E986="Missing",E986="Not reached"),0,"CHECK"))))</x:f>
      </x:c>
      <x:c r="L986" s="2" t="str">
        <x:f>IF(ISNUMBER(K986),IF(AND(K986=1,I986="No"),1,0),K986)</x:f>
      </x:c>
      <x:c r="M986" s="2" t="n">
        <x:f>IF(ISNUMBER(K986),1,0)</x:f>
        <x:v>0</x:v>
      </x:c>
    </x:row>
    <x:row r="987" ht="24" customHeight="1">
      <x:c r="A987" s="2" t="str">
        <x:v>S03.06</x:v>
      </x:c>
      <x:c r="B987" s="2" t="str">
        <x:v>S03</x:v>
      </x:c>
      <x:c r="C987" s="2" t="str">
        <x:v>qwen_connected</x:v>
      </x:c>
      <x:c r="D987" s="2" t="n">
        <x:v>2</x:v>
      </x:c>
      <x:c r="E987" s="8"/>
      <x:c r="F987" s="8"/>
      <x:c r="G987" s="9"/>
      <x:c r="H987" s="9"/>
      <x:c r="I987" s="8"/>
      <x:c r="J987" s="8"/>
      <x:c r="K987" s="2" t="str">
        <x:f>IF(OR(E987="",F987="",G987="",H987="",I987="",J987=""),"",IF(E987="Harness blocked","BLOCKED",IF(AND(E987="Present",F987="Supplied"),1,IF(OR(E987="Missing",E987="Not reached"),0,"CHECK"))))</x:f>
      </x:c>
      <x:c r="L987" s="2" t="str">
        <x:f>IF(ISNUMBER(K987),IF(AND(K987=1,I987="No"),1,0),K987)</x:f>
      </x:c>
      <x:c r="M987" s="2" t="n">
        <x:f>IF(ISNUMBER(K987),1,0)</x:f>
        <x:v>0</x:v>
      </x:c>
    </x:row>
    <x:row r="988" ht="24" customHeight="1">
      <x:c r="A988" s="2" t="str">
        <x:v>S03.07</x:v>
      </x:c>
      <x:c r="B988" s="2" t="str">
        <x:v>S03</x:v>
      </x:c>
      <x:c r="C988" s="2" t="str">
        <x:v>qwen_connected</x:v>
      </x:c>
      <x:c r="D988" s="2" t="n">
        <x:v>2</x:v>
      </x:c>
      <x:c r="E988" s="8"/>
      <x:c r="F988" s="8"/>
      <x:c r="G988" s="9"/>
      <x:c r="H988" s="9"/>
      <x:c r="I988" s="8"/>
      <x:c r="J988" s="8"/>
      <x:c r="K988" s="2" t="str">
        <x:f>IF(OR(E988="",F988="",G988="",H988="",I988="",J988=""),"",IF(E988="Harness blocked","BLOCKED",IF(AND(E988="Present",F988="Supplied"),1,IF(OR(E988="Missing",E988="Not reached"),0,"CHECK"))))</x:f>
      </x:c>
      <x:c r="L988" s="2" t="str">
        <x:f>IF(ISNUMBER(K988),IF(AND(K988=1,I988="No"),1,0),K988)</x:f>
      </x:c>
      <x:c r="M988" s="2" t="n">
        <x:f>IF(ISNUMBER(K988),1,0)</x:f>
        <x:v>0</x:v>
      </x:c>
    </x:row>
    <x:row r="989" ht="24" customHeight="1">
      <x:c r="A989" s="2" t="str">
        <x:v>S03.08</x:v>
      </x:c>
      <x:c r="B989" s="2" t="str">
        <x:v>S03</x:v>
      </x:c>
      <x:c r="C989" s="2" t="str">
        <x:v>qwen_connected</x:v>
      </x:c>
      <x:c r="D989" s="2" t="n">
        <x:v>2</x:v>
      </x:c>
      <x:c r="E989" s="8"/>
      <x:c r="F989" s="8"/>
      <x:c r="G989" s="9"/>
      <x:c r="H989" s="9"/>
      <x:c r="I989" s="8"/>
      <x:c r="J989" s="8"/>
      <x:c r="K989" s="2" t="str">
        <x:f>IF(OR(E989="",F989="",G989="",H989="",I989="",J989=""),"",IF(E989="Harness blocked","BLOCKED",IF(AND(E989="Present",F989="Supplied"),1,IF(OR(E989="Missing",E989="Not reached"),0,"CHECK"))))</x:f>
      </x:c>
      <x:c r="L989" s="2" t="str">
        <x:f>IF(ISNUMBER(K989),IF(AND(K989=1,I989="No"),1,0),K989)</x:f>
      </x:c>
      <x:c r="M989" s="2" t="n">
        <x:f>IF(ISNUMBER(K989),1,0)</x:f>
        <x:v>0</x:v>
      </x:c>
    </x:row>
    <x:row r="990" ht="24" customHeight="1">
      <x:c r="A990" s="2" t="str">
        <x:v>S04.01</x:v>
      </x:c>
      <x:c r="B990" s="2" t="str">
        <x:v>S04</x:v>
      </x:c>
      <x:c r="C990" s="2" t="str">
        <x:v>qwen_connected</x:v>
      </x:c>
      <x:c r="D990" s="2" t="n">
        <x:v>2</x:v>
      </x:c>
      <x:c r="E990" s="8"/>
      <x:c r="F990" s="8"/>
      <x:c r="G990" s="9"/>
      <x:c r="H990" s="9"/>
      <x:c r="I990" s="8"/>
      <x:c r="J990" s="8"/>
      <x:c r="K990" s="2" t="str">
        <x:f>IF(OR(E990="",F990="",G990="",H990="",I990="",J990=""),"",IF(E990="Harness blocked","BLOCKED",IF(AND(E990="Present",F990="Supplied"),1,IF(OR(E990="Missing",E990="Not reached"),0,"CHECK"))))</x:f>
      </x:c>
      <x:c r="L990" s="2" t="str">
        <x:f>IF(ISNUMBER(K990),IF(AND(K990=1,I990="No"),1,0),K990)</x:f>
      </x:c>
      <x:c r="M990" s="2" t="n">
        <x:f>IF(ISNUMBER(K990),1,0)</x:f>
        <x:v>0</x:v>
      </x:c>
    </x:row>
    <x:row r="991" ht="24" customHeight="1">
      <x:c r="A991" s="2" t="str">
        <x:v>S04.02</x:v>
      </x:c>
      <x:c r="B991" s="2" t="str">
        <x:v>S04</x:v>
      </x:c>
      <x:c r="C991" s="2" t="str">
        <x:v>qwen_connected</x:v>
      </x:c>
      <x:c r="D991" s="2" t="n">
        <x:v>2</x:v>
      </x:c>
      <x:c r="E991" s="8"/>
      <x:c r="F991" s="8"/>
      <x:c r="G991" s="9"/>
      <x:c r="H991" s="9"/>
      <x:c r="I991" s="8"/>
      <x:c r="J991" s="8"/>
      <x:c r="K991" s="2" t="str">
        <x:f>IF(OR(E991="",F991="",G991="",H991="",I991="",J991=""),"",IF(E991="Harness blocked","BLOCKED",IF(AND(E991="Present",F991="Supplied"),1,IF(OR(E991="Missing",E991="Not reached"),0,"CHECK"))))</x:f>
      </x:c>
      <x:c r="L991" s="2" t="str">
        <x:f>IF(ISNUMBER(K991),IF(AND(K991=1,I991="No"),1,0),K991)</x:f>
      </x:c>
      <x:c r="M991" s="2" t="n">
        <x:f>IF(ISNUMBER(K991),1,0)</x:f>
        <x:v>0</x:v>
      </x:c>
    </x:row>
    <x:row r="992" ht="24" customHeight="1">
      <x:c r="A992" s="2" t="str">
        <x:v>S04.03</x:v>
      </x:c>
      <x:c r="B992" s="2" t="str">
        <x:v>S04</x:v>
      </x:c>
      <x:c r="C992" s="2" t="str">
        <x:v>qwen_connected</x:v>
      </x:c>
      <x:c r="D992" s="2" t="n">
        <x:v>2</x:v>
      </x:c>
      <x:c r="E992" s="8"/>
      <x:c r="F992" s="8"/>
      <x:c r="G992" s="9"/>
      <x:c r="H992" s="9"/>
      <x:c r="I992" s="8"/>
      <x:c r="J992" s="8"/>
      <x:c r="K992" s="2" t="str">
        <x:f>IF(OR(E992="",F992="",G992="",H992="",I992="",J992=""),"",IF(E992="Harness blocked","BLOCKED",IF(AND(E992="Present",F992="Supplied"),1,IF(OR(E992="Missing",E992="Not reached"),0,"CHECK"))))</x:f>
      </x:c>
      <x:c r="L992" s="2" t="str">
        <x:f>IF(ISNUMBER(K992),IF(AND(K992=1,I992="No"),1,0),K992)</x:f>
      </x:c>
      <x:c r="M992" s="2" t="n">
        <x:f>IF(ISNUMBER(K992),1,0)</x:f>
        <x:v>0</x:v>
      </x:c>
    </x:row>
    <x:row r="993" ht="24" customHeight="1">
      <x:c r="A993" s="2" t="str">
        <x:v>S04.04</x:v>
      </x:c>
      <x:c r="B993" s="2" t="str">
        <x:v>S04</x:v>
      </x:c>
      <x:c r="C993" s="2" t="str">
        <x:v>qwen_connected</x:v>
      </x:c>
      <x:c r="D993" s="2" t="n">
        <x:v>2</x:v>
      </x:c>
      <x:c r="E993" s="8"/>
      <x:c r="F993" s="8"/>
      <x:c r="G993" s="9"/>
      <x:c r="H993" s="9"/>
      <x:c r="I993" s="8"/>
      <x:c r="J993" s="8"/>
      <x:c r="K993" s="2" t="str">
        <x:f>IF(OR(E993="",F993="",G993="",H993="",I993="",J993=""),"",IF(E993="Harness blocked","BLOCKED",IF(AND(E993="Present",F993="Supplied"),1,IF(OR(E993="Missing",E993="Not reached"),0,"CHECK"))))</x:f>
      </x:c>
      <x:c r="L993" s="2" t="str">
        <x:f>IF(ISNUMBER(K993),IF(AND(K993=1,I993="No"),1,0),K993)</x:f>
      </x:c>
      <x:c r="M993" s="2" t="n">
        <x:f>IF(ISNUMBER(K993),1,0)</x:f>
        <x:v>0</x:v>
      </x:c>
    </x:row>
    <x:row r="994" ht="24" customHeight="1">
      <x:c r="A994" s="2" t="str">
        <x:v>S04.05</x:v>
      </x:c>
      <x:c r="B994" s="2" t="str">
        <x:v>S04</x:v>
      </x:c>
      <x:c r="C994" s="2" t="str">
        <x:v>qwen_connected</x:v>
      </x:c>
      <x:c r="D994" s="2" t="n">
        <x:v>2</x:v>
      </x:c>
      <x:c r="E994" s="8"/>
      <x:c r="F994" s="8"/>
      <x:c r="G994" s="9"/>
      <x:c r="H994" s="9"/>
      <x:c r="I994" s="8"/>
      <x:c r="J994" s="8"/>
      <x:c r="K994" s="2" t="str">
        <x:f>IF(OR(E994="",F994="",G994="",H994="",I994="",J994=""),"",IF(E994="Harness blocked","BLOCKED",IF(AND(E994="Present",F994="Supplied"),1,IF(OR(E994="Missing",E994="Not reached"),0,"CHECK"))))</x:f>
      </x:c>
      <x:c r="L994" s="2" t="str">
        <x:f>IF(ISNUMBER(K994),IF(AND(K994=1,I994="No"),1,0),K994)</x:f>
      </x:c>
      <x:c r="M994" s="2" t="n">
        <x:f>IF(ISNUMBER(K994),1,0)</x:f>
        <x:v>0</x:v>
      </x:c>
    </x:row>
    <x:row r="995" ht="24" customHeight="1">
      <x:c r="A995" s="2" t="str">
        <x:v>S04.06</x:v>
      </x:c>
      <x:c r="B995" s="2" t="str">
        <x:v>S04</x:v>
      </x:c>
      <x:c r="C995" s="2" t="str">
        <x:v>qwen_connected</x:v>
      </x:c>
      <x:c r="D995" s="2" t="n">
        <x:v>2</x:v>
      </x:c>
      <x:c r="E995" s="8"/>
      <x:c r="F995" s="8"/>
      <x:c r="G995" s="9"/>
      <x:c r="H995" s="9"/>
      <x:c r="I995" s="8"/>
      <x:c r="J995" s="8"/>
      <x:c r="K995" s="2" t="str">
        <x:f>IF(OR(E995="",F995="",G995="",H995="",I995="",J995=""),"",IF(E995="Harness blocked","BLOCKED",IF(AND(E995="Present",F995="Supplied"),1,IF(OR(E995="Missing",E995="Not reached"),0,"CHECK"))))</x:f>
      </x:c>
      <x:c r="L995" s="2" t="str">
        <x:f>IF(ISNUMBER(K995),IF(AND(K995=1,I995="No"),1,0),K995)</x:f>
      </x:c>
      <x:c r="M995" s="2" t="n">
        <x:f>IF(ISNUMBER(K995),1,0)</x:f>
        <x:v>0</x:v>
      </x:c>
    </x:row>
    <x:row r="996" ht="24" customHeight="1">
      <x:c r="A996" s="2" t="str">
        <x:v>S04.07</x:v>
      </x:c>
      <x:c r="B996" s="2" t="str">
        <x:v>S04</x:v>
      </x:c>
      <x:c r="C996" s="2" t="str">
        <x:v>qwen_connected</x:v>
      </x:c>
      <x:c r="D996" s="2" t="n">
        <x:v>2</x:v>
      </x:c>
      <x:c r="E996" s="8"/>
      <x:c r="F996" s="8"/>
      <x:c r="G996" s="9"/>
      <x:c r="H996" s="9"/>
      <x:c r="I996" s="8"/>
      <x:c r="J996" s="8"/>
      <x:c r="K996" s="2" t="str">
        <x:f>IF(OR(E996="",F996="",G996="",H996="",I996="",J996=""),"",IF(E996="Harness blocked","BLOCKED",IF(AND(E996="Present",F996="Supplied"),1,IF(OR(E996="Missing",E996="Not reached"),0,"CHECK"))))</x:f>
      </x:c>
      <x:c r="L996" s="2" t="str">
        <x:f>IF(ISNUMBER(K996),IF(AND(K996=1,I996="No"),1,0),K996)</x:f>
      </x:c>
      <x:c r="M996" s="2" t="n">
        <x:f>IF(ISNUMBER(K996),1,0)</x:f>
        <x:v>0</x:v>
      </x:c>
    </x:row>
    <x:row r="997" ht="24" customHeight="1">
      <x:c r="A997" s="2" t="str">
        <x:v>S04.08</x:v>
      </x:c>
      <x:c r="B997" s="2" t="str">
        <x:v>S04</x:v>
      </x:c>
      <x:c r="C997" s="2" t="str">
        <x:v>qwen_connected</x:v>
      </x:c>
      <x:c r="D997" s="2" t="n">
        <x:v>2</x:v>
      </x:c>
      <x:c r="E997" s="8"/>
      <x:c r="F997" s="8"/>
      <x:c r="G997" s="9"/>
      <x:c r="H997" s="9"/>
      <x:c r="I997" s="8"/>
      <x:c r="J997" s="8"/>
      <x:c r="K997" s="2" t="str">
        <x:f>IF(OR(E997="",F997="",G997="",H997="",I997="",J997=""),"",IF(E997="Harness blocked","BLOCKED",IF(AND(E997="Present",F997="Supplied"),1,IF(OR(E997="Missing",E997="Not reached"),0,"CHECK"))))</x:f>
      </x:c>
      <x:c r="L997" s="2" t="str">
        <x:f>IF(ISNUMBER(K997),IF(AND(K997=1,I997="No"),1,0),K997)</x:f>
      </x:c>
      <x:c r="M997" s="2" t="n">
        <x:f>IF(ISNUMBER(K997),1,0)</x:f>
        <x:v>0</x:v>
      </x:c>
    </x:row>
    <x:row r="998" ht="24" customHeight="1">
      <x:c r="A998" s="2" t="str">
        <x:v>S05.01</x:v>
      </x:c>
      <x:c r="B998" s="2" t="str">
        <x:v>S05</x:v>
      </x:c>
      <x:c r="C998" s="2" t="str">
        <x:v>qwen_connected</x:v>
      </x:c>
      <x:c r="D998" s="2" t="n">
        <x:v>2</x:v>
      </x:c>
      <x:c r="E998" s="8"/>
      <x:c r="F998" s="8"/>
      <x:c r="G998" s="9"/>
      <x:c r="H998" s="9"/>
      <x:c r="I998" s="8"/>
      <x:c r="J998" s="8"/>
      <x:c r="K998" s="2" t="str">
        <x:f>IF(OR(E998="",F998="",G998="",H998="",I998="",J998=""),"",IF(E998="Harness blocked","BLOCKED",IF(AND(E998="Present",F998="Supplied"),1,IF(OR(E998="Missing",E998="Not reached"),0,"CHECK"))))</x:f>
      </x:c>
      <x:c r="L998" s="2" t="str">
        <x:f>IF(ISNUMBER(K998),IF(AND(K998=1,I998="No"),1,0),K998)</x:f>
      </x:c>
      <x:c r="M998" s="2" t="n">
        <x:f>IF(ISNUMBER(K998),1,0)</x:f>
        <x:v>0</x:v>
      </x:c>
    </x:row>
    <x:row r="999" ht="24" customHeight="1">
      <x:c r="A999" s="2" t="str">
        <x:v>S05.02</x:v>
      </x:c>
      <x:c r="B999" s="2" t="str">
        <x:v>S05</x:v>
      </x:c>
      <x:c r="C999" s="2" t="str">
        <x:v>qwen_connected</x:v>
      </x:c>
      <x:c r="D999" s="2" t="n">
        <x:v>2</x:v>
      </x:c>
      <x:c r="E999" s="8"/>
      <x:c r="F999" s="8"/>
      <x:c r="G999" s="9"/>
      <x:c r="H999" s="9"/>
      <x:c r="I999" s="8"/>
      <x:c r="J999" s="8"/>
      <x:c r="K999" s="2" t="str">
        <x:f>IF(OR(E999="",F999="",G999="",H999="",I999="",J999=""),"",IF(E999="Harness blocked","BLOCKED",IF(AND(E999="Present",F999="Supplied"),1,IF(OR(E999="Missing",E999="Not reached"),0,"CHECK"))))</x:f>
      </x:c>
      <x:c r="L999" s="2" t="str">
        <x:f>IF(ISNUMBER(K999),IF(AND(K999=1,I999="No"),1,0),K999)</x:f>
      </x:c>
      <x:c r="M999" s="2" t="n">
        <x:f>IF(ISNUMBER(K999),1,0)</x:f>
        <x:v>0</x:v>
      </x:c>
    </x:row>
    <x:row r="1000" ht="24" customHeight="1">
      <x:c r="A1000" s="2" t="str">
        <x:v>S05.03</x:v>
      </x:c>
      <x:c r="B1000" s="2" t="str">
        <x:v>S05</x:v>
      </x:c>
      <x:c r="C1000" s="2" t="str">
        <x:v>qwen_connected</x:v>
      </x:c>
      <x:c r="D1000" s="2" t="n">
        <x:v>2</x:v>
      </x:c>
      <x:c r="E1000" s="8"/>
      <x:c r="F1000" s="8"/>
      <x:c r="G1000" s="9"/>
      <x:c r="H1000" s="9"/>
      <x:c r="I1000" s="8"/>
      <x:c r="J1000" s="8"/>
      <x:c r="K1000" s="2" t="str">
        <x:f>IF(OR(E1000="",F1000="",G1000="",H1000="",I1000="",J1000=""),"",IF(E1000="Harness blocked","BLOCKED",IF(AND(E1000="Present",F1000="Supplied"),1,IF(OR(E1000="Missing",E1000="Not reached"),0,"CHECK"))))</x:f>
      </x:c>
      <x:c r="L1000" s="2" t="str">
        <x:f>IF(ISNUMBER(K1000),IF(AND(K1000=1,I1000="No"),1,0),K1000)</x:f>
      </x:c>
      <x:c r="M1000" s="2" t="n">
        <x:f>IF(ISNUMBER(K1000),1,0)</x:f>
        <x:v>0</x:v>
      </x:c>
    </x:row>
    <x:row r="1001" ht="24" customHeight="1">
      <x:c r="A1001" s="2" t="str">
        <x:v>S05.04</x:v>
      </x:c>
      <x:c r="B1001" s="2" t="str">
        <x:v>S05</x:v>
      </x:c>
      <x:c r="C1001" s="2" t="str">
        <x:v>qwen_connected</x:v>
      </x:c>
      <x:c r="D1001" s="2" t="n">
        <x:v>2</x:v>
      </x:c>
      <x:c r="E1001" s="8"/>
      <x:c r="F1001" s="8"/>
      <x:c r="G1001" s="9"/>
      <x:c r="H1001" s="9"/>
      <x:c r="I1001" s="8"/>
      <x:c r="J1001" s="8"/>
      <x:c r="K1001" s="2" t="str">
        <x:f>IF(OR(E1001="",F1001="",G1001="",H1001="",I1001="",J1001=""),"",IF(E1001="Harness blocked","BLOCKED",IF(AND(E1001="Present",F1001="Supplied"),1,IF(OR(E1001="Missing",E1001="Not reached"),0,"CHECK"))))</x:f>
      </x:c>
      <x:c r="L1001" s="2" t="str">
        <x:f>IF(ISNUMBER(K1001),IF(AND(K1001=1,I1001="No"),1,0),K1001)</x:f>
      </x:c>
      <x:c r="M1001" s="2" t="n">
        <x:f>IF(ISNUMBER(K1001),1,0)</x:f>
        <x:v>0</x:v>
      </x:c>
    </x:row>
    <x:row r="1002" ht="24" customHeight="1">
      <x:c r="A1002" s="2" t="str">
        <x:v>S05.05</x:v>
      </x:c>
      <x:c r="B1002" s="2" t="str">
        <x:v>S05</x:v>
      </x:c>
      <x:c r="C1002" s="2" t="str">
        <x:v>qwen_connected</x:v>
      </x:c>
      <x:c r="D1002" s="2" t="n">
        <x:v>2</x:v>
      </x:c>
      <x:c r="E1002" s="8"/>
      <x:c r="F1002" s="8"/>
      <x:c r="G1002" s="9"/>
      <x:c r="H1002" s="9"/>
      <x:c r="I1002" s="8"/>
      <x:c r="J1002" s="8"/>
      <x:c r="K1002" s="2" t="str">
        <x:f>IF(OR(E1002="",F1002="",G1002="",H1002="",I1002="",J1002=""),"",IF(E1002="Harness blocked","BLOCKED",IF(AND(E1002="Present",F1002="Supplied"),1,IF(OR(E1002="Missing",E1002="Not reached"),0,"CHECK"))))</x:f>
      </x:c>
      <x:c r="L1002" s="2" t="str">
        <x:f>IF(ISNUMBER(K1002),IF(AND(K1002=1,I1002="No"),1,0),K1002)</x:f>
      </x:c>
      <x:c r="M1002" s="2" t="n">
        <x:f>IF(ISNUMBER(K1002),1,0)</x:f>
        <x:v>0</x:v>
      </x:c>
    </x:row>
    <x:row r="1003" ht="24" customHeight="1">
      <x:c r="A1003" s="2" t="str">
        <x:v>S05.06</x:v>
      </x:c>
      <x:c r="B1003" s="2" t="str">
        <x:v>S05</x:v>
      </x:c>
      <x:c r="C1003" s="2" t="str">
        <x:v>qwen_connected</x:v>
      </x:c>
      <x:c r="D1003" s="2" t="n">
        <x:v>2</x:v>
      </x:c>
      <x:c r="E1003" s="8"/>
      <x:c r="F1003" s="8"/>
      <x:c r="G1003" s="9"/>
      <x:c r="H1003" s="9"/>
      <x:c r="I1003" s="8"/>
      <x:c r="J1003" s="8"/>
      <x:c r="K1003" s="2" t="str">
        <x:f>IF(OR(E1003="",F1003="",G1003="",H1003="",I1003="",J1003=""),"",IF(E1003="Harness blocked","BLOCKED",IF(AND(E1003="Present",F1003="Supplied"),1,IF(OR(E1003="Missing",E1003="Not reached"),0,"CHECK"))))</x:f>
      </x:c>
      <x:c r="L1003" s="2" t="str">
        <x:f>IF(ISNUMBER(K1003),IF(AND(K1003=1,I1003="No"),1,0),K1003)</x:f>
      </x:c>
      <x:c r="M1003" s="2" t="n">
        <x:f>IF(ISNUMBER(K1003),1,0)</x:f>
        <x:v>0</x:v>
      </x:c>
    </x:row>
    <x:row r="1004" ht="24" customHeight="1">
      <x:c r="A1004" s="2" t="str">
        <x:v>S05.07</x:v>
      </x:c>
      <x:c r="B1004" s="2" t="str">
        <x:v>S05</x:v>
      </x:c>
      <x:c r="C1004" s="2" t="str">
        <x:v>qwen_connected</x:v>
      </x:c>
      <x:c r="D1004" s="2" t="n">
        <x:v>2</x:v>
      </x:c>
      <x:c r="E1004" s="8"/>
      <x:c r="F1004" s="8"/>
      <x:c r="G1004" s="9"/>
      <x:c r="H1004" s="9"/>
      <x:c r="I1004" s="8"/>
      <x:c r="J1004" s="8"/>
      <x:c r="K1004" s="2" t="str">
        <x:f>IF(OR(E1004="",F1004="",G1004="",H1004="",I1004="",J1004=""),"",IF(E1004="Harness blocked","BLOCKED",IF(AND(E1004="Present",F1004="Supplied"),1,IF(OR(E1004="Missing",E1004="Not reached"),0,"CHECK"))))</x:f>
      </x:c>
      <x:c r="L1004" s="2" t="str">
        <x:f>IF(ISNUMBER(K1004),IF(AND(K1004=1,I1004="No"),1,0),K1004)</x:f>
      </x:c>
      <x:c r="M1004" s="2" t="n">
        <x:f>IF(ISNUMBER(K1004),1,0)</x:f>
        <x:v>0</x:v>
      </x:c>
    </x:row>
    <x:row r="1005" ht="24" customHeight="1">
      <x:c r="A1005" s="2" t="str">
        <x:v>S05.08</x:v>
      </x:c>
      <x:c r="B1005" s="2" t="str">
        <x:v>S05</x:v>
      </x:c>
      <x:c r="C1005" s="2" t="str">
        <x:v>qwen_connected</x:v>
      </x:c>
      <x:c r="D1005" s="2" t="n">
        <x:v>2</x:v>
      </x:c>
      <x:c r="E1005" s="8"/>
      <x:c r="F1005" s="8"/>
      <x:c r="G1005" s="9"/>
      <x:c r="H1005" s="9"/>
      <x:c r="I1005" s="8"/>
      <x:c r="J1005" s="8"/>
      <x:c r="K1005" s="2" t="str">
        <x:f>IF(OR(E1005="",F1005="",G1005="",H1005="",I1005="",J1005=""),"",IF(E1005="Harness blocked","BLOCKED",IF(AND(E1005="Present",F1005="Supplied"),1,IF(OR(E1005="Missing",E1005="Not reached"),0,"CHECK"))))</x:f>
      </x:c>
      <x:c r="L1005" s="2" t="str">
        <x:f>IF(ISNUMBER(K1005),IF(AND(K1005=1,I1005="No"),1,0),K1005)</x:f>
      </x:c>
      <x:c r="M1005" s="2" t="n">
        <x:f>IF(ISNUMBER(K1005),1,0)</x:f>
        <x:v>0</x:v>
      </x:c>
    </x:row>
    <x:row r="1006" ht="24" customHeight="1">
      <x:c r="A1006" s="2" t="str">
        <x:v>S06.01</x:v>
      </x:c>
      <x:c r="B1006" s="2" t="str">
        <x:v>S06</x:v>
      </x:c>
      <x:c r="C1006" s="2" t="str">
        <x:v>qwen_connected</x:v>
      </x:c>
      <x:c r="D1006" s="2" t="n">
        <x:v>2</x:v>
      </x:c>
      <x:c r="E1006" s="8"/>
      <x:c r="F1006" s="8"/>
      <x:c r="G1006" s="9"/>
      <x:c r="H1006" s="9"/>
      <x:c r="I1006" s="8"/>
      <x:c r="J1006" s="8"/>
      <x:c r="K1006" s="2" t="str">
        <x:f>IF(OR(E1006="",F1006="",G1006="",H1006="",I1006="",J1006=""),"",IF(E1006="Harness blocked","BLOCKED",IF(AND(E1006="Present",F1006="Supplied"),1,IF(OR(E1006="Missing",E1006="Not reached"),0,"CHECK"))))</x:f>
      </x:c>
      <x:c r="L1006" s="2" t="str">
        <x:f>IF(ISNUMBER(K1006),IF(AND(K1006=1,I1006="No"),1,0),K1006)</x:f>
      </x:c>
      <x:c r="M1006" s="2" t="n">
        <x:f>IF(ISNUMBER(K1006),1,0)</x:f>
        <x:v>0</x:v>
      </x:c>
    </x:row>
    <x:row r="1007" ht="24" customHeight="1">
      <x:c r="A1007" s="2" t="str">
        <x:v>S06.02</x:v>
      </x:c>
      <x:c r="B1007" s="2" t="str">
        <x:v>S06</x:v>
      </x:c>
      <x:c r="C1007" s="2" t="str">
        <x:v>qwen_connected</x:v>
      </x:c>
      <x:c r="D1007" s="2" t="n">
        <x:v>2</x:v>
      </x:c>
      <x:c r="E1007" s="8"/>
      <x:c r="F1007" s="8"/>
      <x:c r="G1007" s="9"/>
      <x:c r="H1007" s="9"/>
      <x:c r="I1007" s="8"/>
      <x:c r="J1007" s="8"/>
      <x:c r="K1007" s="2" t="str">
        <x:f>IF(OR(E1007="",F1007="",G1007="",H1007="",I1007="",J1007=""),"",IF(E1007="Harness blocked","BLOCKED",IF(AND(E1007="Present",F1007="Supplied"),1,IF(OR(E1007="Missing",E1007="Not reached"),0,"CHECK"))))</x:f>
      </x:c>
      <x:c r="L1007" s="2" t="str">
        <x:f>IF(ISNUMBER(K1007),IF(AND(K1007=1,I1007="No"),1,0),K1007)</x:f>
      </x:c>
      <x:c r="M1007" s="2" t="n">
        <x:f>IF(ISNUMBER(K1007),1,0)</x:f>
        <x:v>0</x:v>
      </x:c>
    </x:row>
    <x:row r="1008" ht="24" customHeight="1">
      <x:c r="A1008" s="2" t="str">
        <x:v>S06.03</x:v>
      </x:c>
      <x:c r="B1008" s="2" t="str">
        <x:v>S06</x:v>
      </x:c>
      <x:c r="C1008" s="2" t="str">
        <x:v>qwen_connected</x:v>
      </x:c>
      <x:c r="D1008" s="2" t="n">
        <x:v>2</x:v>
      </x:c>
      <x:c r="E1008" s="8"/>
      <x:c r="F1008" s="8"/>
      <x:c r="G1008" s="9"/>
      <x:c r="H1008" s="9"/>
      <x:c r="I1008" s="8"/>
      <x:c r="J1008" s="8"/>
      <x:c r="K1008" s="2" t="str">
        <x:f>IF(OR(E1008="",F1008="",G1008="",H1008="",I1008="",J1008=""),"",IF(E1008="Harness blocked","BLOCKED",IF(AND(E1008="Present",F1008="Supplied"),1,IF(OR(E1008="Missing",E1008="Not reached"),0,"CHECK"))))</x:f>
      </x:c>
      <x:c r="L1008" s="2" t="str">
        <x:f>IF(ISNUMBER(K1008),IF(AND(K1008=1,I1008="No"),1,0),K1008)</x:f>
      </x:c>
      <x:c r="M1008" s="2" t="n">
        <x:f>IF(ISNUMBER(K1008),1,0)</x:f>
        <x:v>0</x:v>
      </x:c>
    </x:row>
    <x:row r="1009" ht="24" customHeight="1">
      <x:c r="A1009" s="2" t="str">
        <x:v>S06.04</x:v>
      </x:c>
      <x:c r="B1009" s="2" t="str">
        <x:v>S06</x:v>
      </x:c>
      <x:c r="C1009" s="2" t="str">
        <x:v>qwen_connected</x:v>
      </x:c>
      <x:c r="D1009" s="2" t="n">
        <x:v>2</x:v>
      </x:c>
      <x:c r="E1009" s="8"/>
      <x:c r="F1009" s="8"/>
      <x:c r="G1009" s="9"/>
      <x:c r="H1009" s="9"/>
      <x:c r="I1009" s="8"/>
      <x:c r="J1009" s="8"/>
      <x:c r="K1009" s="2" t="str">
        <x:f>IF(OR(E1009="",F1009="",G1009="",H1009="",I1009="",J1009=""),"",IF(E1009="Harness blocked","BLOCKED",IF(AND(E1009="Present",F1009="Supplied"),1,IF(OR(E1009="Missing",E1009="Not reached"),0,"CHECK"))))</x:f>
      </x:c>
      <x:c r="L1009" s="2" t="str">
        <x:f>IF(ISNUMBER(K1009),IF(AND(K1009=1,I1009="No"),1,0),K1009)</x:f>
      </x:c>
      <x:c r="M1009" s="2" t="n">
        <x:f>IF(ISNUMBER(K1009),1,0)</x:f>
        <x:v>0</x:v>
      </x:c>
    </x:row>
    <x:row r="1010" ht="24" customHeight="1">
      <x:c r="A1010" s="2" t="str">
        <x:v>S06.05</x:v>
      </x:c>
      <x:c r="B1010" s="2" t="str">
        <x:v>S06</x:v>
      </x:c>
      <x:c r="C1010" s="2" t="str">
        <x:v>qwen_connected</x:v>
      </x:c>
      <x:c r="D1010" s="2" t="n">
        <x:v>2</x:v>
      </x:c>
      <x:c r="E1010" s="8"/>
      <x:c r="F1010" s="8"/>
      <x:c r="G1010" s="9"/>
      <x:c r="H1010" s="9"/>
      <x:c r="I1010" s="8"/>
      <x:c r="J1010" s="8"/>
      <x:c r="K1010" s="2" t="str">
        <x:f>IF(OR(E1010="",F1010="",G1010="",H1010="",I1010="",J1010=""),"",IF(E1010="Harness blocked","BLOCKED",IF(AND(E1010="Present",F1010="Supplied"),1,IF(OR(E1010="Missing",E1010="Not reached"),0,"CHECK"))))</x:f>
      </x:c>
      <x:c r="L1010" s="2" t="str">
        <x:f>IF(ISNUMBER(K1010),IF(AND(K1010=1,I1010="No"),1,0),K1010)</x:f>
      </x:c>
      <x:c r="M1010" s="2" t="n">
        <x:f>IF(ISNUMBER(K1010),1,0)</x:f>
        <x:v>0</x:v>
      </x:c>
    </x:row>
    <x:row r="1011" ht="24" customHeight="1">
      <x:c r="A1011" s="2" t="str">
        <x:v>S06.06</x:v>
      </x:c>
      <x:c r="B1011" s="2" t="str">
        <x:v>S06</x:v>
      </x:c>
      <x:c r="C1011" s="2" t="str">
        <x:v>qwen_connected</x:v>
      </x:c>
      <x:c r="D1011" s="2" t="n">
        <x:v>2</x:v>
      </x:c>
      <x:c r="E1011" s="8"/>
      <x:c r="F1011" s="8"/>
      <x:c r="G1011" s="9"/>
      <x:c r="H1011" s="9"/>
      <x:c r="I1011" s="8"/>
      <x:c r="J1011" s="8"/>
      <x:c r="K1011" s="2" t="str">
        <x:f>IF(OR(E1011="",F1011="",G1011="",H1011="",I1011="",J1011=""),"",IF(E1011="Harness blocked","BLOCKED",IF(AND(E1011="Present",F1011="Supplied"),1,IF(OR(E1011="Missing",E1011="Not reached"),0,"CHECK"))))</x:f>
      </x:c>
      <x:c r="L1011" s="2" t="str">
        <x:f>IF(ISNUMBER(K1011),IF(AND(K1011=1,I1011="No"),1,0),K1011)</x:f>
      </x:c>
      <x:c r="M1011" s="2" t="n">
        <x:f>IF(ISNUMBER(K1011),1,0)</x:f>
        <x:v>0</x:v>
      </x:c>
    </x:row>
    <x:row r="1012" ht="24" customHeight="1">
      <x:c r="A1012" s="2" t="str">
        <x:v>S06.07</x:v>
      </x:c>
      <x:c r="B1012" s="2" t="str">
        <x:v>S06</x:v>
      </x:c>
      <x:c r="C1012" s="2" t="str">
        <x:v>qwen_connected</x:v>
      </x:c>
      <x:c r="D1012" s="2" t="n">
        <x:v>2</x:v>
      </x:c>
      <x:c r="E1012" s="8"/>
      <x:c r="F1012" s="8"/>
      <x:c r="G1012" s="9"/>
      <x:c r="H1012" s="9"/>
      <x:c r="I1012" s="8"/>
      <x:c r="J1012" s="8"/>
      <x:c r="K1012" s="2" t="str">
        <x:f>IF(OR(E1012="",F1012="",G1012="",H1012="",I1012="",J1012=""),"",IF(E1012="Harness blocked","BLOCKED",IF(AND(E1012="Present",F1012="Supplied"),1,IF(OR(E1012="Missing",E1012="Not reached"),0,"CHECK"))))</x:f>
      </x:c>
      <x:c r="L1012" s="2" t="str">
        <x:f>IF(ISNUMBER(K1012),IF(AND(K1012=1,I1012="No"),1,0),K1012)</x:f>
      </x:c>
      <x:c r="M1012" s="2" t="n">
        <x:f>IF(ISNUMBER(K1012),1,0)</x:f>
        <x:v>0</x:v>
      </x:c>
    </x:row>
    <x:row r="1013" ht="24" customHeight="1">
      <x:c r="A1013" s="2" t="str">
        <x:v>S06.08</x:v>
      </x:c>
      <x:c r="B1013" s="2" t="str">
        <x:v>S06</x:v>
      </x:c>
      <x:c r="C1013" s="2" t="str">
        <x:v>qwen_connected</x:v>
      </x:c>
      <x:c r="D1013" s="2" t="n">
        <x:v>2</x:v>
      </x:c>
      <x:c r="E1013" s="8"/>
      <x:c r="F1013" s="8"/>
      <x:c r="G1013" s="9"/>
      <x:c r="H1013" s="9"/>
      <x:c r="I1013" s="8"/>
      <x:c r="J1013" s="8"/>
      <x:c r="K1013" s="2" t="str">
        <x:f>IF(OR(E1013="",F1013="",G1013="",H1013="",I1013="",J1013=""),"",IF(E1013="Harness blocked","BLOCKED",IF(AND(E1013="Present",F1013="Supplied"),1,IF(OR(E1013="Missing",E1013="Not reached"),0,"CHECK"))))</x:f>
      </x:c>
      <x:c r="L1013" s="2" t="str">
        <x:f>IF(ISNUMBER(K1013),IF(AND(K1013=1,I1013="No"),1,0),K1013)</x:f>
      </x:c>
      <x:c r="M1013" s="2" t="n">
        <x:f>IF(ISNUMBER(K1013),1,0)</x:f>
        <x:v>0</x:v>
      </x:c>
    </x:row>
    <x:row r="1014" ht="24" customHeight="1">
      <x:c r="A1014" s="2" t="str">
        <x:v>S07.01</x:v>
      </x:c>
      <x:c r="B1014" s="2" t="str">
        <x:v>S07</x:v>
      </x:c>
      <x:c r="C1014" s="2" t="str">
        <x:v>qwen_connected</x:v>
      </x:c>
      <x:c r="D1014" s="2" t="n">
        <x:v>2</x:v>
      </x:c>
      <x:c r="E1014" s="8"/>
      <x:c r="F1014" s="8"/>
      <x:c r="G1014" s="9"/>
      <x:c r="H1014" s="9"/>
      <x:c r="I1014" s="8"/>
      <x:c r="J1014" s="8"/>
      <x:c r="K1014" s="2" t="str">
        <x:f>IF(OR(E1014="",F1014="",G1014="",H1014="",I1014="",J1014=""),"",IF(E1014="Harness blocked","BLOCKED",IF(AND(E1014="Present",F1014="Supplied"),1,IF(OR(E1014="Missing",E1014="Not reached"),0,"CHECK"))))</x:f>
      </x:c>
      <x:c r="L1014" s="2" t="str">
        <x:f>IF(ISNUMBER(K1014),IF(AND(K1014=1,I1014="No"),1,0),K1014)</x:f>
      </x:c>
      <x:c r="M1014" s="2" t="n">
        <x:f>IF(ISNUMBER(K1014),1,0)</x:f>
        <x:v>0</x:v>
      </x:c>
    </x:row>
    <x:row r="1015" ht="24" customHeight="1">
      <x:c r="A1015" s="2" t="str">
        <x:v>S07.02</x:v>
      </x:c>
      <x:c r="B1015" s="2" t="str">
        <x:v>S07</x:v>
      </x:c>
      <x:c r="C1015" s="2" t="str">
        <x:v>qwen_connected</x:v>
      </x:c>
      <x:c r="D1015" s="2" t="n">
        <x:v>2</x:v>
      </x:c>
      <x:c r="E1015" s="8"/>
      <x:c r="F1015" s="8"/>
      <x:c r="G1015" s="9"/>
      <x:c r="H1015" s="9"/>
      <x:c r="I1015" s="8"/>
      <x:c r="J1015" s="8"/>
      <x:c r="K1015" s="2" t="str">
        <x:f>IF(OR(E1015="",F1015="",G1015="",H1015="",I1015="",J1015=""),"",IF(E1015="Harness blocked","BLOCKED",IF(AND(E1015="Present",F1015="Supplied"),1,IF(OR(E1015="Missing",E1015="Not reached"),0,"CHECK"))))</x:f>
      </x:c>
      <x:c r="L1015" s="2" t="str">
        <x:f>IF(ISNUMBER(K1015),IF(AND(K1015=1,I1015="No"),1,0),K1015)</x:f>
      </x:c>
      <x:c r="M1015" s="2" t="n">
        <x:f>IF(ISNUMBER(K1015),1,0)</x:f>
        <x:v>0</x:v>
      </x:c>
    </x:row>
    <x:row r="1016" ht="24" customHeight="1">
      <x:c r="A1016" s="2" t="str">
        <x:v>S07.03</x:v>
      </x:c>
      <x:c r="B1016" s="2" t="str">
        <x:v>S07</x:v>
      </x:c>
      <x:c r="C1016" s="2" t="str">
        <x:v>qwen_connected</x:v>
      </x:c>
      <x:c r="D1016" s="2" t="n">
        <x:v>2</x:v>
      </x:c>
      <x:c r="E1016" s="8"/>
      <x:c r="F1016" s="8"/>
      <x:c r="G1016" s="9"/>
      <x:c r="H1016" s="9"/>
      <x:c r="I1016" s="8"/>
      <x:c r="J1016" s="8"/>
      <x:c r="K1016" s="2" t="str">
        <x:f>IF(OR(E1016="",F1016="",G1016="",H1016="",I1016="",J1016=""),"",IF(E1016="Harness blocked","BLOCKED",IF(AND(E1016="Present",F1016="Supplied"),1,IF(OR(E1016="Missing",E1016="Not reached"),0,"CHECK"))))</x:f>
      </x:c>
      <x:c r="L1016" s="2" t="str">
        <x:f>IF(ISNUMBER(K1016),IF(AND(K1016=1,I1016="No"),1,0),K1016)</x:f>
      </x:c>
      <x:c r="M1016" s="2" t="n">
        <x:f>IF(ISNUMBER(K1016),1,0)</x:f>
        <x:v>0</x:v>
      </x:c>
    </x:row>
    <x:row r="1017" ht="24" customHeight="1">
      <x:c r="A1017" s="2" t="str">
        <x:v>S07.04</x:v>
      </x:c>
      <x:c r="B1017" s="2" t="str">
        <x:v>S07</x:v>
      </x:c>
      <x:c r="C1017" s="2" t="str">
        <x:v>qwen_connected</x:v>
      </x:c>
      <x:c r="D1017" s="2" t="n">
        <x:v>2</x:v>
      </x:c>
      <x:c r="E1017" s="8"/>
      <x:c r="F1017" s="8"/>
      <x:c r="G1017" s="9"/>
      <x:c r="H1017" s="9"/>
      <x:c r="I1017" s="8"/>
      <x:c r="J1017" s="8"/>
      <x:c r="K1017" s="2" t="str">
        <x:f>IF(OR(E1017="",F1017="",G1017="",H1017="",I1017="",J1017=""),"",IF(E1017="Harness blocked","BLOCKED",IF(AND(E1017="Present",F1017="Supplied"),1,IF(OR(E1017="Missing",E1017="Not reached"),0,"CHECK"))))</x:f>
      </x:c>
      <x:c r="L1017" s="2" t="str">
        <x:f>IF(ISNUMBER(K1017),IF(AND(K1017=1,I1017="No"),1,0),K1017)</x:f>
      </x:c>
      <x:c r="M1017" s="2" t="n">
        <x:f>IF(ISNUMBER(K1017),1,0)</x:f>
        <x:v>0</x:v>
      </x:c>
    </x:row>
    <x:row r="1018" ht="24" customHeight="1">
      <x:c r="A1018" s="2" t="str">
        <x:v>S07.05</x:v>
      </x:c>
      <x:c r="B1018" s="2" t="str">
        <x:v>S07</x:v>
      </x:c>
      <x:c r="C1018" s="2" t="str">
        <x:v>qwen_connected</x:v>
      </x:c>
      <x:c r="D1018" s="2" t="n">
        <x:v>2</x:v>
      </x:c>
      <x:c r="E1018" s="8"/>
      <x:c r="F1018" s="8"/>
      <x:c r="G1018" s="9"/>
      <x:c r="H1018" s="9"/>
      <x:c r="I1018" s="8"/>
      <x:c r="J1018" s="8"/>
      <x:c r="K1018" s="2" t="str">
        <x:f>IF(OR(E1018="",F1018="",G1018="",H1018="",I1018="",J1018=""),"",IF(E1018="Harness blocked","BLOCKED",IF(AND(E1018="Present",F1018="Supplied"),1,IF(OR(E1018="Missing",E1018="Not reached"),0,"CHECK"))))</x:f>
      </x:c>
      <x:c r="L1018" s="2" t="str">
        <x:f>IF(ISNUMBER(K1018),IF(AND(K1018=1,I1018="No"),1,0),K1018)</x:f>
      </x:c>
      <x:c r="M1018" s="2" t="n">
        <x:f>IF(ISNUMBER(K1018),1,0)</x:f>
        <x:v>0</x:v>
      </x:c>
    </x:row>
    <x:row r="1019" ht="24" customHeight="1">
      <x:c r="A1019" s="2" t="str">
        <x:v>S07.06</x:v>
      </x:c>
      <x:c r="B1019" s="2" t="str">
        <x:v>S07</x:v>
      </x:c>
      <x:c r="C1019" s="2" t="str">
        <x:v>qwen_connected</x:v>
      </x:c>
      <x:c r="D1019" s="2" t="n">
        <x:v>2</x:v>
      </x:c>
      <x:c r="E1019" s="8"/>
      <x:c r="F1019" s="8"/>
      <x:c r="G1019" s="9"/>
      <x:c r="H1019" s="9"/>
      <x:c r="I1019" s="8"/>
      <x:c r="J1019" s="8"/>
      <x:c r="K1019" s="2" t="str">
        <x:f>IF(OR(E1019="",F1019="",G1019="",H1019="",I1019="",J1019=""),"",IF(E1019="Harness blocked","BLOCKED",IF(AND(E1019="Present",F1019="Supplied"),1,IF(OR(E1019="Missing",E1019="Not reached"),0,"CHECK"))))</x:f>
      </x:c>
      <x:c r="L1019" s="2" t="str">
        <x:f>IF(ISNUMBER(K1019),IF(AND(K1019=1,I1019="No"),1,0),K1019)</x:f>
      </x:c>
      <x:c r="M1019" s="2" t="n">
        <x:f>IF(ISNUMBER(K1019),1,0)</x:f>
        <x:v>0</x:v>
      </x:c>
    </x:row>
    <x:row r="1020" ht="24" customHeight="1">
      <x:c r="A1020" s="2" t="str">
        <x:v>S07.07</x:v>
      </x:c>
      <x:c r="B1020" s="2" t="str">
        <x:v>S07</x:v>
      </x:c>
      <x:c r="C1020" s="2" t="str">
        <x:v>qwen_connected</x:v>
      </x:c>
      <x:c r="D1020" s="2" t="n">
        <x:v>2</x:v>
      </x:c>
      <x:c r="E1020" s="8"/>
      <x:c r="F1020" s="8"/>
      <x:c r="G1020" s="9"/>
      <x:c r="H1020" s="9"/>
      <x:c r="I1020" s="8"/>
      <x:c r="J1020" s="8"/>
      <x:c r="K1020" s="2" t="str">
        <x:f>IF(OR(E1020="",F1020="",G1020="",H1020="",I1020="",J1020=""),"",IF(E1020="Harness blocked","BLOCKED",IF(AND(E1020="Present",F1020="Supplied"),1,IF(OR(E1020="Missing",E1020="Not reached"),0,"CHECK"))))</x:f>
      </x:c>
      <x:c r="L1020" s="2" t="str">
        <x:f>IF(ISNUMBER(K1020),IF(AND(K1020=1,I1020="No"),1,0),K1020)</x:f>
      </x:c>
      <x:c r="M1020" s="2" t="n">
        <x:f>IF(ISNUMBER(K1020),1,0)</x:f>
        <x:v>0</x:v>
      </x:c>
    </x:row>
    <x:row r="1021" ht="24" customHeight="1">
      <x:c r="A1021" s="2" t="str">
        <x:v>S07.08</x:v>
      </x:c>
      <x:c r="B1021" s="2" t="str">
        <x:v>S07</x:v>
      </x:c>
      <x:c r="C1021" s="2" t="str">
        <x:v>qwen_connected</x:v>
      </x:c>
      <x:c r="D1021" s="2" t="n">
        <x:v>2</x:v>
      </x:c>
      <x:c r="E1021" s="8"/>
      <x:c r="F1021" s="8"/>
      <x:c r="G1021" s="9"/>
      <x:c r="H1021" s="9"/>
      <x:c r="I1021" s="8"/>
      <x:c r="J1021" s="8"/>
      <x:c r="K1021" s="2" t="str">
        <x:f>IF(OR(E1021="",F1021="",G1021="",H1021="",I1021="",J1021=""),"",IF(E1021="Harness blocked","BLOCKED",IF(AND(E1021="Present",F1021="Supplied"),1,IF(OR(E1021="Missing",E1021="Not reached"),0,"CHECK"))))</x:f>
      </x:c>
      <x:c r="L1021" s="2" t="str">
        <x:f>IF(ISNUMBER(K1021),IF(AND(K1021=1,I1021="No"),1,0),K1021)</x:f>
      </x:c>
      <x:c r="M1021" s="2" t="n">
        <x:f>IF(ISNUMBER(K1021),1,0)</x:f>
        <x:v>0</x:v>
      </x:c>
    </x:row>
    <x:row r="1022" ht="24" customHeight="1">
      <x:c r="A1022" s="2" t="str">
        <x:v>S08.01</x:v>
      </x:c>
      <x:c r="B1022" s="2" t="str">
        <x:v>S08</x:v>
      </x:c>
      <x:c r="C1022" s="2" t="str">
        <x:v>qwen_connected</x:v>
      </x:c>
      <x:c r="D1022" s="2" t="n">
        <x:v>2</x:v>
      </x:c>
      <x:c r="E1022" s="8"/>
      <x:c r="F1022" s="8"/>
      <x:c r="G1022" s="9"/>
      <x:c r="H1022" s="9"/>
      <x:c r="I1022" s="8"/>
      <x:c r="J1022" s="8"/>
      <x:c r="K1022" s="2" t="str">
        <x:f>IF(OR(E1022="",F1022="",G1022="",H1022="",I1022="",J1022=""),"",IF(E1022="Harness blocked","BLOCKED",IF(AND(E1022="Present",F1022="Supplied"),1,IF(OR(E1022="Missing",E1022="Not reached"),0,"CHECK"))))</x:f>
      </x:c>
      <x:c r="L1022" s="2" t="str">
        <x:f>IF(ISNUMBER(K1022),IF(AND(K1022=1,I1022="No"),1,0),K1022)</x:f>
      </x:c>
      <x:c r="M1022" s="2" t="n">
        <x:f>IF(ISNUMBER(K1022),1,0)</x:f>
        <x:v>0</x:v>
      </x:c>
    </x:row>
    <x:row r="1023" ht="24" customHeight="1">
      <x:c r="A1023" s="2" t="str">
        <x:v>S08.02</x:v>
      </x:c>
      <x:c r="B1023" s="2" t="str">
        <x:v>S08</x:v>
      </x:c>
      <x:c r="C1023" s="2" t="str">
        <x:v>qwen_connected</x:v>
      </x:c>
      <x:c r="D1023" s="2" t="n">
        <x:v>2</x:v>
      </x:c>
      <x:c r="E1023" s="8"/>
      <x:c r="F1023" s="8"/>
      <x:c r="G1023" s="9"/>
      <x:c r="H1023" s="9"/>
      <x:c r="I1023" s="8"/>
      <x:c r="J1023" s="8"/>
      <x:c r="K1023" s="2" t="str">
        <x:f>IF(OR(E1023="",F1023="",G1023="",H1023="",I1023="",J1023=""),"",IF(E1023="Harness blocked","BLOCKED",IF(AND(E1023="Present",F1023="Supplied"),1,IF(OR(E1023="Missing",E1023="Not reached"),0,"CHECK"))))</x:f>
      </x:c>
      <x:c r="L1023" s="2" t="str">
        <x:f>IF(ISNUMBER(K1023),IF(AND(K1023=1,I1023="No"),1,0),K1023)</x:f>
      </x:c>
      <x:c r="M1023" s="2" t="n">
        <x:f>IF(ISNUMBER(K1023),1,0)</x:f>
        <x:v>0</x:v>
      </x:c>
    </x:row>
    <x:row r="1024" ht="24" customHeight="1">
      <x:c r="A1024" s="2" t="str">
        <x:v>S08.03</x:v>
      </x:c>
      <x:c r="B1024" s="2" t="str">
        <x:v>S08</x:v>
      </x:c>
      <x:c r="C1024" s="2" t="str">
        <x:v>qwen_connected</x:v>
      </x:c>
      <x:c r="D1024" s="2" t="n">
        <x:v>2</x:v>
      </x:c>
      <x:c r="E1024" s="8"/>
      <x:c r="F1024" s="8"/>
      <x:c r="G1024" s="9"/>
      <x:c r="H1024" s="9"/>
      <x:c r="I1024" s="8"/>
      <x:c r="J1024" s="8"/>
      <x:c r="K1024" s="2" t="str">
        <x:f>IF(OR(E1024="",F1024="",G1024="",H1024="",I1024="",J1024=""),"",IF(E1024="Harness blocked","BLOCKED",IF(AND(E1024="Present",F1024="Supplied"),1,IF(OR(E1024="Missing",E1024="Not reached"),0,"CHECK"))))</x:f>
      </x:c>
      <x:c r="L1024" s="2" t="str">
        <x:f>IF(ISNUMBER(K1024),IF(AND(K1024=1,I1024="No"),1,0),K1024)</x:f>
      </x:c>
      <x:c r="M1024" s="2" t="n">
        <x:f>IF(ISNUMBER(K1024),1,0)</x:f>
        <x:v>0</x:v>
      </x:c>
    </x:row>
    <x:row r="1025" ht="24" customHeight="1">
      <x:c r="A1025" s="2" t="str">
        <x:v>S08.04</x:v>
      </x:c>
      <x:c r="B1025" s="2" t="str">
        <x:v>S08</x:v>
      </x:c>
      <x:c r="C1025" s="2" t="str">
        <x:v>qwen_connected</x:v>
      </x:c>
      <x:c r="D1025" s="2" t="n">
        <x:v>2</x:v>
      </x:c>
      <x:c r="E1025" s="8"/>
      <x:c r="F1025" s="8"/>
      <x:c r="G1025" s="9"/>
      <x:c r="H1025" s="9"/>
      <x:c r="I1025" s="8"/>
      <x:c r="J1025" s="8"/>
      <x:c r="K1025" s="2" t="str">
        <x:f>IF(OR(E1025="",F1025="",G1025="",H1025="",I1025="",J1025=""),"",IF(E1025="Harness blocked","BLOCKED",IF(AND(E1025="Present",F1025="Supplied"),1,IF(OR(E1025="Missing",E1025="Not reached"),0,"CHECK"))))</x:f>
      </x:c>
      <x:c r="L1025" s="2" t="str">
        <x:f>IF(ISNUMBER(K1025),IF(AND(K1025=1,I1025="No"),1,0),K1025)</x:f>
      </x:c>
      <x:c r="M1025" s="2" t="n">
        <x:f>IF(ISNUMBER(K1025),1,0)</x:f>
        <x:v>0</x:v>
      </x:c>
    </x:row>
    <x:row r="1026" ht="24" customHeight="1">
      <x:c r="A1026" s="2" t="str">
        <x:v>S08.05</x:v>
      </x:c>
      <x:c r="B1026" s="2" t="str">
        <x:v>S08</x:v>
      </x:c>
      <x:c r="C1026" s="2" t="str">
        <x:v>qwen_connected</x:v>
      </x:c>
      <x:c r="D1026" s="2" t="n">
        <x:v>2</x:v>
      </x:c>
      <x:c r="E1026" s="8"/>
      <x:c r="F1026" s="8"/>
      <x:c r="G1026" s="9"/>
      <x:c r="H1026" s="9"/>
      <x:c r="I1026" s="8"/>
      <x:c r="J1026" s="8"/>
      <x:c r="K1026" s="2" t="str">
        <x:f>IF(OR(E1026="",F1026="",G1026="",H1026="",I1026="",J1026=""),"",IF(E1026="Harness blocked","BLOCKED",IF(AND(E1026="Present",F1026="Supplied"),1,IF(OR(E1026="Missing",E1026="Not reached"),0,"CHECK"))))</x:f>
      </x:c>
      <x:c r="L1026" s="2" t="str">
        <x:f>IF(ISNUMBER(K1026),IF(AND(K1026=1,I1026="No"),1,0),K1026)</x:f>
      </x:c>
      <x:c r="M1026" s="2" t="n">
        <x:f>IF(ISNUMBER(K1026),1,0)</x:f>
        <x:v>0</x:v>
      </x:c>
    </x:row>
    <x:row r="1027" ht="24" customHeight="1">
      <x:c r="A1027" s="2" t="str">
        <x:v>S08.06</x:v>
      </x:c>
      <x:c r="B1027" s="2" t="str">
        <x:v>S08</x:v>
      </x:c>
      <x:c r="C1027" s="2" t="str">
        <x:v>qwen_connected</x:v>
      </x:c>
      <x:c r="D1027" s="2" t="n">
        <x:v>2</x:v>
      </x:c>
      <x:c r="E1027" s="8"/>
      <x:c r="F1027" s="8"/>
      <x:c r="G1027" s="9"/>
      <x:c r="H1027" s="9"/>
      <x:c r="I1027" s="8"/>
      <x:c r="J1027" s="8"/>
      <x:c r="K1027" s="2" t="str">
        <x:f>IF(OR(E1027="",F1027="",G1027="",H1027="",I1027="",J1027=""),"",IF(E1027="Harness blocked","BLOCKED",IF(AND(E1027="Present",F1027="Supplied"),1,IF(OR(E1027="Missing",E1027="Not reached"),0,"CHECK"))))</x:f>
      </x:c>
      <x:c r="L1027" s="2" t="str">
        <x:f>IF(ISNUMBER(K1027),IF(AND(K1027=1,I1027="No"),1,0),K1027)</x:f>
      </x:c>
      <x:c r="M1027" s="2" t="n">
        <x:f>IF(ISNUMBER(K1027),1,0)</x:f>
        <x:v>0</x:v>
      </x:c>
    </x:row>
    <x:row r="1028" ht="24" customHeight="1">
      <x:c r="A1028" s="2" t="str">
        <x:v>S08.07</x:v>
      </x:c>
      <x:c r="B1028" s="2" t="str">
        <x:v>S08</x:v>
      </x:c>
      <x:c r="C1028" s="2" t="str">
        <x:v>qwen_connected</x:v>
      </x:c>
      <x:c r="D1028" s="2" t="n">
        <x:v>2</x:v>
      </x:c>
      <x:c r="E1028" s="8"/>
      <x:c r="F1028" s="8"/>
      <x:c r="G1028" s="9"/>
      <x:c r="H1028" s="9"/>
      <x:c r="I1028" s="8"/>
      <x:c r="J1028" s="8"/>
      <x:c r="K1028" s="2" t="str">
        <x:f>IF(OR(E1028="",F1028="",G1028="",H1028="",I1028="",J1028=""),"",IF(E1028="Harness blocked","BLOCKED",IF(AND(E1028="Present",F1028="Supplied"),1,IF(OR(E1028="Missing",E1028="Not reached"),0,"CHECK"))))</x:f>
      </x:c>
      <x:c r="L1028" s="2" t="str">
        <x:f>IF(ISNUMBER(K1028),IF(AND(K1028=1,I1028="No"),1,0),K1028)</x:f>
      </x:c>
      <x:c r="M1028" s="2" t="n">
        <x:f>IF(ISNUMBER(K1028),1,0)</x:f>
        <x:v>0</x:v>
      </x:c>
    </x:row>
    <x:row r="1029" ht="24" customHeight="1">
      <x:c r="A1029" s="2" t="str">
        <x:v>S08.08</x:v>
      </x:c>
      <x:c r="B1029" s="2" t="str">
        <x:v>S08</x:v>
      </x:c>
      <x:c r="C1029" s="2" t="str">
        <x:v>qwen_connected</x:v>
      </x:c>
      <x:c r="D1029" s="2" t="n">
        <x:v>2</x:v>
      </x:c>
      <x:c r="E1029" s="8"/>
      <x:c r="F1029" s="8"/>
      <x:c r="G1029" s="9"/>
      <x:c r="H1029" s="9"/>
      <x:c r="I1029" s="8"/>
      <x:c r="J1029" s="8"/>
      <x:c r="K1029" s="2" t="str">
        <x:f>IF(OR(E1029="",F1029="",G1029="",H1029="",I1029="",J1029=""),"",IF(E1029="Harness blocked","BLOCKED",IF(AND(E1029="Present",F1029="Supplied"),1,IF(OR(E1029="Missing",E1029="Not reached"),0,"CHECK"))))</x:f>
      </x:c>
      <x:c r="L1029" s="2" t="str">
        <x:f>IF(ISNUMBER(K1029),IF(AND(K1029=1,I1029="No"),1,0),K1029)</x:f>
      </x:c>
      <x:c r="M1029" s="2" t="n">
        <x:f>IF(ISNUMBER(K1029),1,0)</x:f>
        <x:v>0</x:v>
      </x:c>
    </x:row>
    <x:row r="1030" ht="24" customHeight="1">
      <x:c r="A1030" s="2" t="str">
        <x:v>S09.01</x:v>
      </x:c>
      <x:c r="B1030" s="2" t="str">
        <x:v>S09</x:v>
      </x:c>
      <x:c r="C1030" s="2" t="str">
        <x:v>qwen_connected</x:v>
      </x:c>
      <x:c r="D1030" s="2" t="n">
        <x:v>2</x:v>
      </x:c>
      <x:c r="E1030" s="8"/>
      <x:c r="F1030" s="8"/>
      <x:c r="G1030" s="9"/>
      <x:c r="H1030" s="9"/>
      <x:c r="I1030" s="8"/>
      <x:c r="J1030" s="8"/>
      <x:c r="K1030" s="2" t="str">
        <x:f>IF(OR(E1030="",F1030="",G1030="",H1030="",I1030="",J1030=""),"",IF(E1030="Harness blocked","BLOCKED",IF(AND(E1030="Present",F1030="Supplied"),1,IF(OR(E1030="Missing",E1030="Not reached"),0,"CHECK"))))</x:f>
      </x:c>
      <x:c r="L1030" s="2" t="str">
        <x:f>IF(ISNUMBER(K1030),IF(AND(K1030=1,I1030="No"),1,0),K1030)</x:f>
      </x:c>
      <x:c r="M1030" s="2" t="n">
        <x:f>IF(ISNUMBER(K1030),1,0)</x:f>
        <x:v>0</x:v>
      </x:c>
    </x:row>
    <x:row r="1031" ht="24" customHeight="1">
      <x:c r="A1031" s="2" t="str">
        <x:v>S09.02</x:v>
      </x:c>
      <x:c r="B1031" s="2" t="str">
        <x:v>S09</x:v>
      </x:c>
      <x:c r="C1031" s="2" t="str">
        <x:v>qwen_connected</x:v>
      </x:c>
      <x:c r="D1031" s="2" t="n">
        <x:v>2</x:v>
      </x:c>
      <x:c r="E1031" s="8"/>
      <x:c r="F1031" s="8"/>
      <x:c r="G1031" s="9"/>
      <x:c r="H1031" s="9"/>
      <x:c r="I1031" s="8"/>
      <x:c r="J1031" s="8"/>
      <x:c r="K1031" s="2" t="str">
        <x:f>IF(OR(E1031="",F1031="",G1031="",H1031="",I1031="",J1031=""),"",IF(E1031="Harness blocked","BLOCKED",IF(AND(E1031="Present",F1031="Supplied"),1,IF(OR(E1031="Missing",E1031="Not reached"),0,"CHECK"))))</x:f>
      </x:c>
      <x:c r="L1031" s="2" t="str">
        <x:f>IF(ISNUMBER(K1031),IF(AND(K1031=1,I1031="No"),1,0),K1031)</x:f>
      </x:c>
      <x:c r="M1031" s="2" t="n">
        <x:f>IF(ISNUMBER(K1031),1,0)</x:f>
        <x:v>0</x:v>
      </x:c>
    </x:row>
    <x:row r="1032" ht="24" customHeight="1">
      <x:c r="A1032" s="2" t="str">
        <x:v>S09.03</x:v>
      </x:c>
      <x:c r="B1032" s="2" t="str">
        <x:v>S09</x:v>
      </x:c>
      <x:c r="C1032" s="2" t="str">
        <x:v>qwen_connected</x:v>
      </x:c>
      <x:c r="D1032" s="2" t="n">
        <x:v>2</x:v>
      </x:c>
      <x:c r="E1032" s="8"/>
      <x:c r="F1032" s="8"/>
      <x:c r="G1032" s="9"/>
      <x:c r="H1032" s="9"/>
      <x:c r="I1032" s="8"/>
      <x:c r="J1032" s="8"/>
      <x:c r="K1032" s="2" t="str">
        <x:f>IF(OR(E1032="",F1032="",G1032="",H1032="",I1032="",J1032=""),"",IF(E1032="Harness blocked","BLOCKED",IF(AND(E1032="Present",F1032="Supplied"),1,IF(OR(E1032="Missing",E1032="Not reached"),0,"CHECK"))))</x:f>
      </x:c>
      <x:c r="L1032" s="2" t="str">
        <x:f>IF(ISNUMBER(K1032),IF(AND(K1032=1,I1032="No"),1,0),K1032)</x:f>
      </x:c>
      <x:c r="M1032" s="2" t="n">
        <x:f>IF(ISNUMBER(K1032),1,0)</x:f>
        <x:v>0</x:v>
      </x:c>
    </x:row>
    <x:row r="1033" ht="24" customHeight="1">
      <x:c r="A1033" s="2" t="str">
        <x:v>S09.04</x:v>
      </x:c>
      <x:c r="B1033" s="2" t="str">
        <x:v>S09</x:v>
      </x:c>
      <x:c r="C1033" s="2" t="str">
        <x:v>qwen_connected</x:v>
      </x:c>
      <x:c r="D1033" s="2" t="n">
        <x:v>2</x:v>
      </x:c>
      <x:c r="E1033" s="8"/>
      <x:c r="F1033" s="8"/>
      <x:c r="G1033" s="9"/>
      <x:c r="H1033" s="9"/>
      <x:c r="I1033" s="8"/>
      <x:c r="J1033" s="8"/>
      <x:c r="K1033" s="2" t="str">
        <x:f>IF(OR(E1033="",F1033="",G1033="",H1033="",I1033="",J1033=""),"",IF(E1033="Harness blocked","BLOCKED",IF(AND(E1033="Present",F1033="Supplied"),1,IF(OR(E1033="Missing",E1033="Not reached"),0,"CHECK"))))</x:f>
      </x:c>
      <x:c r="L1033" s="2" t="str">
        <x:f>IF(ISNUMBER(K1033),IF(AND(K1033=1,I1033="No"),1,0),K1033)</x:f>
      </x:c>
      <x:c r="M1033" s="2" t="n">
        <x:f>IF(ISNUMBER(K1033),1,0)</x:f>
        <x:v>0</x:v>
      </x:c>
    </x:row>
    <x:row r="1034" ht="24" customHeight="1">
      <x:c r="A1034" s="2" t="str">
        <x:v>S09.05</x:v>
      </x:c>
      <x:c r="B1034" s="2" t="str">
        <x:v>S09</x:v>
      </x:c>
      <x:c r="C1034" s="2" t="str">
        <x:v>qwen_connected</x:v>
      </x:c>
      <x:c r="D1034" s="2" t="n">
        <x:v>2</x:v>
      </x:c>
      <x:c r="E1034" s="8"/>
      <x:c r="F1034" s="8"/>
      <x:c r="G1034" s="9"/>
      <x:c r="H1034" s="9"/>
      <x:c r="I1034" s="8"/>
      <x:c r="J1034" s="8"/>
      <x:c r="K1034" s="2" t="str">
        <x:f>IF(OR(E1034="",F1034="",G1034="",H1034="",I1034="",J1034=""),"",IF(E1034="Harness blocked","BLOCKED",IF(AND(E1034="Present",F1034="Supplied"),1,IF(OR(E1034="Missing",E1034="Not reached"),0,"CHECK"))))</x:f>
      </x:c>
      <x:c r="L1034" s="2" t="str">
        <x:f>IF(ISNUMBER(K1034),IF(AND(K1034=1,I1034="No"),1,0),K1034)</x:f>
      </x:c>
      <x:c r="M1034" s="2" t="n">
        <x:f>IF(ISNUMBER(K1034),1,0)</x:f>
        <x:v>0</x:v>
      </x:c>
    </x:row>
    <x:row r="1035" ht="24" customHeight="1">
      <x:c r="A1035" s="2" t="str">
        <x:v>S09.06</x:v>
      </x:c>
      <x:c r="B1035" s="2" t="str">
        <x:v>S09</x:v>
      </x:c>
      <x:c r="C1035" s="2" t="str">
        <x:v>qwen_connected</x:v>
      </x:c>
      <x:c r="D1035" s="2" t="n">
        <x:v>2</x:v>
      </x:c>
      <x:c r="E1035" s="8"/>
      <x:c r="F1035" s="8"/>
      <x:c r="G1035" s="9"/>
      <x:c r="H1035" s="9"/>
      <x:c r="I1035" s="8"/>
      <x:c r="J1035" s="8"/>
      <x:c r="K1035" s="2" t="str">
        <x:f>IF(OR(E1035="",F1035="",G1035="",H1035="",I1035="",J1035=""),"",IF(E1035="Harness blocked","BLOCKED",IF(AND(E1035="Present",F1035="Supplied"),1,IF(OR(E1035="Missing",E1035="Not reached"),0,"CHECK"))))</x:f>
      </x:c>
      <x:c r="L1035" s="2" t="str">
        <x:f>IF(ISNUMBER(K1035),IF(AND(K1035=1,I1035="No"),1,0),K1035)</x:f>
      </x:c>
      <x:c r="M1035" s="2" t="n">
        <x:f>IF(ISNUMBER(K1035),1,0)</x:f>
        <x:v>0</x:v>
      </x:c>
    </x:row>
    <x:row r="1036" ht="24" customHeight="1">
      <x:c r="A1036" s="2" t="str">
        <x:v>S09.07</x:v>
      </x:c>
      <x:c r="B1036" s="2" t="str">
        <x:v>S09</x:v>
      </x:c>
      <x:c r="C1036" s="2" t="str">
        <x:v>qwen_connected</x:v>
      </x:c>
      <x:c r="D1036" s="2" t="n">
        <x:v>2</x:v>
      </x:c>
      <x:c r="E1036" s="8"/>
      <x:c r="F1036" s="8"/>
      <x:c r="G1036" s="9"/>
      <x:c r="H1036" s="9"/>
      <x:c r="I1036" s="8"/>
      <x:c r="J1036" s="8"/>
      <x:c r="K1036" s="2" t="str">
        <x:f>IF(OR(E1036="",F1036="",G1036="",H1036="",I1036="",J1036=""),"",IF(E1036="Harness blocked","BLOCKED",IF(AND(E1036="Present",F1036="Supplied"),1,IF(OR(E1036="Missing",E1036="Not reached"),0,"CHECK"))))</x:f>
      </x:c>
      <x:c r="L1036" s="2" t="str">
        <x:f>IF(ISNUMBER(K1036),IF(AND(K1036=1,I1036="No"),1,0),K1036)</x:f>
      </x:c>
      <x:c r="M1036" s="2" t="n">
        <x:f>IF(ISNUMBER(K1036),1,0)</x:f>
        <x:v>0</x:v>
      </x:c>
    </x:row>
    <x:row r="1037" ht="24" customHeight="1">
      <x:c r="A1037" s="2" t="str">
        <x:v>S09.08</x:v>
      </x:c>
      <x:c r="B1037" s="2" t="str">
        <x:v>S09</x:v>
      </x:c>
      <x:c r="C1037" s="2" t="str">
        <x:v>qwen_connected</x:v>
      </x:c>
      <x:c r="D1037" s="2" t="n">
        <x:v>2</x:v>
      </x:c>
      <x:c r="E1037" s="8"/>
      <x:c r="F1037" s="8"/>
      <x:c r="G1037" s="9"/>
      <x:c r="H1037" s="9"/>
      <x:c r="I1037" s="8"/>
      <x:c r="J1037" s="8"/>
      <x:c r="K1037" s="2" t="str">
        <x:f>IF(OR(E1037="",F1037="",G1037="",H1037="",I1037="",J1037=""),"",IF(E1037="Harness blocked","BLOCKED",IF(AND(E1037="Present",F1037="Supplied"),1,IF(OR(E1037="Missing",E1037="Not reached"),0,"CHECK"))))</x:f>
      </x:c>
      <x:c r="L1037" s="2" t="str">
        <x:f>IF(ISNUMBER(K1037),IF(AND(K1037=1,I1037="No"),1,0),K1037)</x:f>
      </x:c>
      <x:c r="M1037" s="2" t="n">
        <x:f>IF(ISNUMBER(K1037),1,0)</x:f>
        <x:v>0</x:v>
      </x:c>
    </x:row>
    <x:row r="1038" ht="24" customHeight="1">
      <x:c r="A1038" s="2" t="str">
        <x:v>S10.01</x:v>
      </x:c>
      <x:c r="B1038" s="2" t="str">
        <x:v>S10</x:v>
      </x:c>
      <x:c r="C1038" s="2" t="str">
        <x:v>qwen_connected</x:v>
      </x:c>
      <x:c r="D1038" s="2" t="n">
        <x:v>2</x:v>
      </x:c>
      <x:c r="E1038" s="8"/>
      <x:c r="F1038" s="8"/>
      <x:c r="G1038" s="9"/>
      <x:c r="H1038" s="9"/>
      <x:c r="I1038" s="8"/>
      <x:c r="J1038" s="8"/>
      <x:c r="K1038" s="2" t="str">
        <x:f>IF(OR(E1038="",F1038="",G1038="",H1038="",I1038="",J1038=""),"",IF(E1038="Harness blocked","BLOCKED",IF(AND(E1038="Present",F1038="Supplied"),1,IF(OR(E1038="Missing",E1038="Not reached"),0,"CHECK"))))</x:f>
      </x:c>
      <x:c r="L1038" s="2" t="str">
        <x:f>IF(ISNUMBER(K1038),IF(AND(K1038=1,I1038="No"),1,0),K1038)</x:f>
      </x:c>
      <x:c r="M1038" s="2" t="n">
        <x:f>IF(ISNUMBER(K1038),1,0)</x:f>
        <x:v>0</x:v>
      </x:c>
    </x:row>
    <x:row r="1039" ht="24" customHeight="1">
      <x:c r="A1039" s="2" t="str">
        <x:v>S10.02</x:v>
      </x:c>
      <x:c r="B1039" s="2" t="str">
        <x:v>S10</x:v>
      </x:c>
      <x:c r="C1039" s="2" t="str">
        <x:v>qwen_connected</x:v>
      </x:c>
      <x:c r="D1039" s="2" t="n">
        <x:v>2</x:v>
      </x:c>
      <x:c r="E1039" s="8"/>
      <x:c r="F1039" s="8"/>
      <x:c r="G1039" s="9"/>
      <x:c r="H1039" s="9"/>
      <x:c r="I1039" s="8"/>
      <x:c r="J1039" s="8"/>
      <x:c r="K1039" s="2" t="str">
        <x:f>IF(OR(E1039="",F1039="",G1039="",H1039="",I1039="",J1039=""),"",IF(E1039="Harness blocked","BLOCKED",IF(AND(E1039="Present",F1039="Supplied"),1,IF(OR(E1039="Missing",E1039="Not reached"),0,"CHECK"))))</x:f>
      </x:c>
      <x:c r="L1039" s="2" t="str">
        <x:f>IF(ISNUMBER(K1039),IF(AND(K1039=1,I1039="No"),1,0),K1039)</x:f>
      </x:c>
      <x:c r="M1039" s="2" t="n">
        <x:f>IF(ISNUMBER(K1039),1,0)</x:f>
        <x:v>0</x:v>
      </x:c>
    </x:row>
    <x:row r="1040" ht="24" customHeight="1">
      <x:c r="A1040" s="2" t="str">
        <x:v>S10.03</x:v>
      </x:c>
      <x:c r="B1040" s="2" t="str">
        <x:v>S10</x:v>
      </x:c>
      <x:c r="C1040" s="2" t="str">
        <x:v>qwen_connected</x:v>
      </x:c>
      <x:c r="D1040" s="2" t="n">
        <x:v>2</x:v>
      </x:c>
      <x:c r="E1040" s="8"/>
      <x:c r="F1040" s="8"/>
      <x:c r="G1040" s="9"/>
      <x:c r="H1040" s="9"/>
      <x:c r="I1040" s="8"/>
      <x:c r="J1040" s="8"/>
      <x:c r="K1040" s="2" t="str">
        <x:f>IF(OR(E1040="",F1040="",G1040="",H1040="",I1040="",J1040=""),"",IF(E1040="Harness blocked","BLOCKED",IF(AND(E1040="Present",F1040="Supplied"),1,IF(OR(E1040="Missing",E1040="Not reached"),0,"CHECK"))))</x:f>
      </x:c>
      <x:c r="L1040" s="2" t="str">
        <x:f>IF(ISNUMBER(K1040),IF(AND(K1040=1,I1040="No"),1,0),K1040)</x:f>
      </x:c>
      <x:c r="M1040" s="2" t="n">
        <x:f>IF(ISNUMBER(K1040),1,0)</x:f>
        <x:v>0</x:v>
      </x:c>
    </x:row>
    <x:row r="1041" ht="24" customHeight="1">
      <x:c r="A1041" s="2" t="str">
        <x:v>S10.04</x:v>
      </x:c>
      <x:c r="B1041" s="2" t="str">
        <x:v>S10</x:v>
      </x:c>
      <x:c r="C1041" s="2" t="str">
        <x:v>qwen_connected</x:v>
      </x:c>
      <x:c r="D1041" s="2" t="n">
        <x:v>2</x:v>
      </x:c>
      <x:c r="E1041" s="8"/>
      <x:c r="F1041" s="8"/>
      <x:c r="G1041" s="9"/>
      <x:c r="H1041" s="9"/>
      <x:c r="I1041" s="8"/>
      <x:c r="J1041" s="8"/>
      <x:c r="K1041" s="2" t="str">
        <x:f>IF(OR(E1041="",F1041="",G1041="",H1041="",I1041="",J1041=""),"",IF(E1041="Harness blocked","BLOCKED",IF(AND(E1041="Present",F1041="Supplied"),1,IF(OR(E1041="Missing",E1041="Not reached"),0,"CHECK"))))</x:f>
      </x:c>
      <x:c r="L1041" s="2" t="str">
        <x:f>IF(ISNUMBER(K1041),IF(AND(K1041=1,I1041="No"),1,0),K1041)</x:f>
      </x:c>
      <x:c r="M1041" s="2" t="n">
        <x:f>IF(ISNUMBER(K1041),1,0)</x:f>
        <x:v>0</x:v>
      </x:c>
    </x:row>
    <x:row r="1042" ht="24" customHeight="1">
      <x:c r="A1042" s="2" t="str">
        <x:v>S10.05</x:v>
      </x:c>
      <x:c r="B1042" s="2" t="str">
        <x:v>S10</x:v>
      </x:c>
      <x:c r="C1042" s="2" t="str">
        <x:v>qwen_connected</x:v>
      </x:c>
      <x:c r="D1042" s="2" t="n">
        <x:v>2</x:v>
      </x:c>
      <x:c r="E1042" s="8"/>
      <x:c r="F1042" s="8"/>
      <x:c r="G1042" s="9"/>
      <x:c r="H1042" s="9"/>
      <x:c r="I1042" s="8"/>
      <x:c r="J1042" s="8"/>
      <x:c r="K1042" s="2" t="str">
        <x:f>IF(OR(E1042="",F1042="",G1042="",H1042="",I1042="",J1042=""),"",IF(E1042="Harness blocked","BLOCKED",IF(AND(E1042="Present",F1042="Supplied"),1,IF(OR(E1042="Missing",E1042="Not reached"),0,"CHECK"))))</x:f>
      </x:c>
      <x:c r="L1042" s="2" t="str">
        <x:f>IF(ISNUMBER(K1042),IF(AND(K1042=1,I1042="No"),1,0),K1042)</x:f>
      </x:c>
      <x:c r="M1042" s="2" t="n">
        <x:f>IF(ISNUMBER(K1042),1,0)</x:f>
        <x:v>0</x:v>
      </x:c>
    </x:row>
    <x:row r="1043" ht="24" customHeight="1">
      <x:c r="A1043" s="2" t="str">
        <x:v>S10.06</x:v>
      </x:c>
      <x:c r="B1043" s="2" t="str">
        <x:v>S10</x:v>
      </x:c>
      <x:c r="C1043" s="2" t="str">
        <x:v>qwen_connected</x:v>
      </x:c>
      <x:c r="D1043" s="2" t="n">
        <x:v>2</x:v>
      </x:c>
      <x:c r="E1043" s="8"/>
      <x:c r="F1043" s="8"/>
      <x:c r="G1043" s="9"/>
      <x:c r="H1043" s="9"/>
      <x:c r="I1043" s="8"/>
      <x:c r="J1043" s="8"/>
      <x:c r="K1043" s="2" t="str">
        <x:f>IF(OR(E1043="",F1043="",G1043="",H1043="",I1043="",J1043=""),"",IF(E1043="Harness blocked","BLOCKED",IF(AND(E1043="Present",F1043="Supplied"),1,IF(OR(E1043="Missing",E1043="Not reached"),0,"CHECK"))))</x:f>
      </x:c>
      <x:c r="L1043" s="2" t="str">
        <x:f>IF(ISNUMBER(K1043),IF(AND(K1043=1,I1043="No"),1,0),K1043)</x:f>
      </x:c>
      <x:c r="M1043" s="2" t="n">
        <x:f>IF(ISNUMBER(K1043),1,0)</x:f>
        <x:v>0</x:v>
      </x:c>
    </x:row>
    <x:row r="1044" ht="24" customHeight="1">
      <x:c r="A1044" s="2" t="str">
        <x:v>S10.07</x:v>
      </x:c>
      <x:c r="B1044" s="2" t="str">
        <x:v>S10</x:v>
      </x:c>
      <x:c r="C1044" s="2" t="str">
        <x:v>qwen_connected</x:v>
      </x:c>
      <x:c r="D1044" s="2" t="n">
        <x:v>2</x:v>
      </x:c>
      <x:c r="E1044" s="8"/>
      <x:c r="F1044" s="8"/>
      <x:c r="G1044" s="9"/>
      <x:c r="H1044" s="9"/>
      <x:c r="I1044" s="8"/>
      <x:c r="J1044" s="8"/>
      <x:c r="K1044" s="2" t="str">
        <x:f>IF(OR(E1044="",F1044="",G1044="",H1044="",I1044="",J1044=""),"",IF(E1044="Harness blocked","BLOCKED",IF(AND(E1044="Present",F1044="Supplied"),1,IF(OR(E1044="Missing",E1044="Not reached"),0,"CHECK"))))</x:f>
      </x:c>
      <x:c r="L1044" s="2" t="str">
        <x:f>IF(ISNUMBER(K1044),IF(AND(K1044=1,I1044="No"),1,0),K1044)</x:f>
      </x:c>
      <x:c r="M1044" s="2" t="n">
        <x:f>IF(ISNUMBER(K1044),1,0)</x:f>
        <x:v>0</x:v>
      </x:c>
    </x:row>
    <x:row r="1045" ht="24" customHeight="1">
      <x:c r="A1045" s="2" t="str">
        <x:v>S10.08</x:v>
      </x:c>
      <x:c r="B1045" s="2" t="str">
        <x:v>S10</x:v>
      </x:c>
      <x:c r="C1045" s="2" t="str">
        <x:v>qwen_connected</x:v>
      </x:c>
      <x:c r="D1045" s="2" t="n">
        <x:v>2</x:v>
      </x:c>
      <x:c r="E1045" s="8"/>
      <x:c r="F1045" s="8"/>
      <x:c r="G1045" s="9"/>
      <x:c r="H1045" s="9"/>
      <x:c r="I1045" s="8"/>
      <x:c r="J1045" s="8"/>
      <x:c r="K1045" s="2" t="str">
        <x:f>IF(OR(E1045="",F1045="",G1045="",H1045="",I1045="",J1045=""),"",IF(E1045="Harness blocked","BLOCKED",IF(AND(E1045="Present",F1045="Supplied"),1,IF(OR(E1045="Missing",E1045="Not reached"),0,"CHECK"))))</x:f>
      </x:c>
      <x:c r="L1045" s="2" t="str">
        <x:f>IF(ISNUMBER(K1045),IF(AND(K1045=1,I1045="No"),1,0),K1045)</x:f>
      </x:c>
      <x:c r="M1045" s="2" t="n">
        <x:f>IF(ISNUMBER(K1045),1,0)</x:f>
        <x:v>0</x:v>
      </x:c>
    </x:row>
    <x:row r="1046" ht="24" customHeight="1">
      <x:c r="A1046" s="2" t="str">
        <x:v>S11.01</x:v>
      </x:c>
      <x:c r="B1046" s="2" t="str">
        <x:v>S11</x:v>
      </x:c>
      <x:c r="C1046" s="2" t="str">
        <x:v>qwen_connected</x:v>
      </x:c>
      <x:c r="D1046" s="2" t="n">
        <x:v>2</x:v>
      </x:c>
      <x:c r="E1046" s="8"/>
      <x:c r="F1046" s="8"/>
      <x:c r="G1046" s="9"/>
      <x:c r="H1046" s="9"/>
      <x:c r="I1046" s="8"/>
      <x:c r="J1046" s="8"/>
      <x:c r="K1046" s="2" t="str">
        <x:f>IF(OR(E1046="",F1046="",G1046="",H1046="",I1046="",J1046=""),"",IF(E1046="Harness blocked","BLOCKED",IF(AND(E1046="Present",F1046="Supplied"),1,IF(OR(E1046="Missing",E1046="Not reached"),0,"CHECK"))))</x:f>
      </x:c>
      <x:c r="L1046" s="2" t="str">
        <x:f>IF(ISNUMBER(K1046),IF(AND(K1046=1,I1046="No"),1,0),K1046)</x:f>
      </x:c>
      <x:c r="M1046" s="2" t="n">
        <x:f>IF(ISNUMBER(K1046),1,0)</x:f>
        <x:v>0</x:v>
      </x:c>
    </x:row>
    <x:row r="1047" ht="24" customHeight="1">
      <x:c r="A1047" s="2" t="str">
        <x:v>S11.02</x:v>
      </x:c>
      <x:c r="B1047" s="2" t="str">
        <x:v>S11</x:v>
      </x:c>
      <x:c r="C1047" s="2" t="str">
        <x:v>qwen_connected</x:v>
      </x:c>
      <x:c r="D1047" s="2" t="n">
        <x:v>2</x:v>
      </x:c>
      <x:c r="E1047" s="8"/>
      <x:c r="F1047" s="8"/>
      <x:c r="G1047" s="9"/>
      <x:c r="H1047" s="9"/>
      <x:c r="I1047" s="8"/>
      <x:c r="J1047" s="8"/>
      <x:c r="K1047" s="2" t="str">
        <x:f>IF(OR(E1047="",F1047="",G1047="",H1047="",I1047="",J1047=""),"",IF(E1047="Harness blocked","BLOCKED",IF(AND(E1047="Present",F1047="Supplied"),1,IF(OR(E1047="Missing",E1047="Not reached"),0,"CHECK"))))</x:f>
      </x:c>
      <x:c r="L1047" s="2" t="str">
        <x:f>IF(ISNUMBER(K1047),IF(AND(K1047=1,I1047="No"),1,0),K1047)</x:f>
      </x:c>
      <x:c r="M1047" s="2" t="n">
        <x:f>IF(ISNUMBER(K1047),1,0)</x:f>
        <x:v>0</x:v>
      </x:c>
    </x:row>
    <x:row r="1048" ht="24" customHeight="1">
      <x:c r="A1048" s="2" t="str">
        <x:v>S11.03</x:v>
      </x:c>
      <x:c r="B1048" s="2" t="str">
        <x:v>S11</x:v>
      </x:c>
      <x:c r="C1048" s="2" t="str">
        <x:v>qwen_connected</x:v>
      </x:c>
      <x:c r="D1048" s="2" t="n">
        <x:v>2</x:v>
      </x:c>
      <x:c r="E1048" s="8"/>
      <x:c r="F1048" s="8"/>
      <x:c r="G1048" s="9"/>
      <x:c r="H1048" s="9"/>
      <x:c r="I1048" s="8"/>
      <x:c r="J1048" s="8"/>
      <x:c r="K1048" s="2" t="str">
        <x:f>IF(OR(E1048="",F1048="",G1048="",H1048="",I1048="",J1048=""),"",IF(E1048="Harness blocked","BLOCKED",IF(AND(E1048="Present",F1048="Supplied"),1,IF(OR(E1048="Missing",E1048="Not reached"),0,"CHECK"))))</x:f>
      </x:c>
      <x:c r="L1048" s="2" t="str">
        <x:f>IF(ISNUMBER(K1048),IF(AND(K1048=1,I1048="No"),1,0),K1048)</x:f>
      </x:c>
      <x:c r="M1048" s="2" t="n">
        <x:f>IF(ISNUMBER(K1048),1,0)</x:f>
        <x:v>0</x:v>
      </x:c>
    </x:row>
    <x:row r="1049" ht="24" customHeight="1">
      <x:c r="A1049" s="2" t="str">
        <x:v>S11.04</x:v>
      </x:c>
      <x:c r="B1049" s="2" t="str">
        <x:v>S11</x:v>
      </x:c>
      <x:c r="C1049" s="2" t="str">
        <x:v>qwen_connected</x:v>
      </x:c>
      <x:c r="D1049" s="2" t="n">
        <x:v>2</x:v>
      </x:c>
      <x:c r="E1049" s="8"/>
      <x:c r="F1049" s="8"/>
      <x:c r="G1049" s="9"/>
      <x:c r="H1049" s="9"/>
      <x:c r="I1049" s="8"/>
      <x:c r="J1049" s="8"/>
      <x:c r="K1049" s="2" t="str">
        <x:f>IF(OR(E1049="",F1049="",G1049="",H1049="",I1049="",J1049=""),"",IF(E1049="Harness blocked","BLOCKED",IF(AND(E1049="Present",F1049="Supplied"),1,IF(OR(E1049="Missing",E1049="Not reached"),0,"CHECK"))))</x:f>
      </x:c>
      <x:c r="L1049" s="2" t="str">
        <x:f>IF(ISNUMBER(K1049),IF(AND(K1049=1,I1049="No"),1,0),K1049)</x:f>
      </x:c>
      <x:c r="M1049" s="2" t="n">
        <x:f>IF(ISNUMBER(K1049),1,0)</x:f>
        <x:v>0</x:v>
      </x:c>
    </x:row>
    <x:row r="1050" ht="24" customHeight="1">
      <x:c r="A1050" s="2" t="str">
        <x:v>S11.05</x:v>
      </x:c>
      <x:c r="B1050" s="2" t="str">
        <x:v>S11</x:v>
      </x:c>
      <x:c r="C1050" s="2" t="str">
        <x:v>qwen_connected</x:v>
      </x:c>
      <x:c r="D1050" s="2" t="n">
        <x:v>2</x:v>
      </x:c>
      <x:c r="E1050" s="8"/>
      <x:c r="F1050" s="8"/>
      <x:c r="G1050" s="9"/>
      <x:c r="H1050" s="9"/>
      <x:c r="I1050" s="8"/>
      <x:c r="J1050" s="8"/>
      <x:c r="K1050" s="2" t="str">
        <x:f>IF(OR(E1050="",F1050="",G1050="",H1050="",I1050="",J1050=""),"",IF(E1050="Harness blocked","BLOCKED",IF(AND(E1050="Present",F1050="Supplied"),1,IF(OR(E1050="Missing",E1050="Not reached"),0,"CHECK"))))</x:f>
      </x:c>
      <x:c r="L1050" s="2" t="str">
        <x:f>IF(ISNUMBER(K1050),IF(AND(K1050=1,I1050="No"),1,0),K1050)</x:f>
      </x:c>
      <x:c r="M1050" s="2" t="n">
        <x:f>IF(ISNUMBER(K1050),1,0)</x:f>
        <x:v>0</x:v>
      </x:c>
    </x:row>
    <x:row r="1051" ht="24" customHeight="1">
      <x:c r="A1051" s="2" t="str">
        <x:v>S11.06</x:v>
      </x:c>
      <x:c r="B1051" s="2" t="str">
        <x:v>S11</x:v>
      </x:c>
      <x:c r="C1051" s="2" t="str">
        <x:v>qwen_connected</x:v>
      </x:c>
      <x:c r="D1051" s="2" t="n">
        <x:v>2</x:v>
      </x:c>
      <x:c r="E1051" s="8"/>
      <x:c r="F1051" s="8"/>
      <x:c r="G1051" s="9"/>
      <x:c r="H1051" s="9"/>
      <x:c r="I1051" s="8"/>
      <x:c r="J1051" s="8"/>
      <x:c r="K1051" s="2" t="str">
        <x:f>IF(OR(E1051="",F1051="",G1051="",H1051="",I1051="",J1051=""),"",IF(E1051="Harness blocked","BLOCKED",IF(AND(E1051="Present",F1051="Supplied"),1,IF(OR(E1051="Missing",E1051="Not reached"),0,"CHECK"))))</x:f>
      </x:c>
      <x:c r="L1051" s="2" t="str">
        <x:f>IF(ISNUMBER(K1051),IF(AND(K1051=1,I1051="No"),1,0),K1051)</x:f>
      </x:c>
      <x:c r="M1051" s="2" t="n">
        <x:f>IF(ISNUMBER(K1051),1,0)</x:f>
        <x:v>0</x:v>
      </x:c>
    </x:row>
    <x:row r="1052" ht="24" customHeight="1">
      <x:c r="A1052" s="2" t="str">
        <x:v>S11.07</x:v>
      </x:c>
      <x:c r="B1052" s="2" t="str">
        <x:v>S11</x:v>
      </x:c>
      <x:c r="C1052" s="2" t="str">
        <x:v>qwen_connected</x:v>
      </x:c>
      <x:c r="D1052" s="2" t="n">
        <x:v>2</x:v>
      </x:c>
      <x:c r="E1052" s="8"/>
      <x:c r="F1052" s="8"/>
      <x:c r="G1052" s="9"/>
      <x:c r="H1052" s="9"/>
      <x:c r="I1052" s="8"/>
      <x:c r="J1052" s="8"/>
      <x:c r="K1052" s="2" t="str">
        <x:f>IF(OR(E1052="",F1052="",G1052="",H1052="",I1052="",J1052=""),"",IF(E1052="Harness blocked","BLOCKED",IF(AND(E1052="Present",F1052="Supplied"),1,IF(OR(E1052="Missing",E1052="Not reached"),0,"CHECK"))))</x:f>
      </x:c>
      <x:c r="L1052" s="2" t="str">
        <x:f>IF(ISNUMBER(K1052),IF(AND(K1052=1,I1052="No"),1,0),K1052)</x:f>
      </x:c>
      <x:c r="M1052" s="2" t="n">
        <x:f>IF(ISNUMBER(K1052),1,0)</x:f>
        <x:v>0</x:v>
      </x:c>
    </x:row>
    <x:row r="1053" ht="24" customHeight="1">
      <x:c r="A1053" s="2" t="str">
        <x:v>S11.08</x:v>
      </x:c>
      <x:c r="B1053" s="2" t="str">
        <x:v>S11</x:v>
      </x:c>
      <x:c r="C1053" s="2" t="str">
        <x:v>qwen_connected</x:v>
      </x:c>
      <x:c r="D1053" s="2" t="n">
        <x:v>2</x:v>
      </x:c>
      <x:c r="E1053" s="8"/>
      <x:c r="F1053" s="8"/>
      <x:c r="G1053" s="9"/>
      <x:c r="H1053" s="9"/>
      <x:c r="I1053" s="8"/>
      <x:c r="J1053" s="8"/>
      <x:c r="K1053" s="2" t="str">
        <x:f>IF(OR(E1053="",F1053="",G1053="",H1053="",I1053="",J1053=""),"",IF(E1053="Harness blocked","BLOCKED",IF(AND(E1053="Present",F1053="Supplied"),1,IF(OR(E1053="Missing",E1053="Not reached"),0,"CHECK"))))</x:f>
      </x:c>
      <x:c r="L1053" s="2" t="str">
        <x:f>IF(ISNUMBER(K1053),IF(AND(K1053=1,I1053="No"),1,0),K1053)</x:f>
      </x:c>
      <x:c r="M1053" s="2" t="n">
        <x:f>IF(ISNUMBER(K1053),1,0)</x:f>
        <x:v>0</x:v>
      </x:c>
    </x:row>
    <x:row r="1054" ht="24" customHeight="1">
      <x:c r="A1054" s="2" t="str">
        <x:v>S12.01</x:v>
      </x:c>
      <x:c r="B1054" s="2" t="str">
        <x:v>S12</x:v>
      </x:c>
      <x:c r="C1054" s="2" t="str">
        <x:v>qwen_connected</x:v>
      </x:c>
      <x:c r="D1054" s="2" t="n">
        <x:v>2</x:v>
      </x:c>
      <x:c r="E1054" s="8"/>
      <x:c r="F1054" s="8"/>
      <x:c r="G1054" s="9"/>
      <x:c r="H1054" s="9"/>
      <x:c r="I1054" s="8"/>
      <x:c r="J1054" s="8"/>
      <x:c r="K1054" s="2" t="str">
        <x:f>IF(OR(E1054="",F1054="",G1054="",H1054="",I1054="",J1054=""),"",IF(E1054="Harness blocked","BLOCKED",IF(AND(E1054="Present",F1054="Supplied"),1,IF(OR(E1054="Missing",E1054="Not reached"),0,"CHECK"))))</x:f>
      </x:c>
      <x:c r="L1054" s="2" t="str">
        <x:f>IF(ISNUMBER(K1054),IF(AND(K1054=1,I1054="No"),1,0),K1054)</x:f>
      </x:c>
      <x:c r="M1054" s="2" t="n">
        <x:f>IF(ISNUMBER(K1054),1,0)</x:f>
        <x:v>0</x:v>
      </x:c>
    </x:row>
    <x:row r="1055" ht="24" customHeight="1">
      <x:c r="A1055" s="2" t="str">
        <x:v>S12.02</x:v>
      </x:c>
      <x:c r="B1055" s="2" t="str">
        <x:v>S12</x:v>
      </x:c>
      <x:c r="C1055" s="2" t="str">
        <x:v>qwen_connected</x:v>
      </x:c>
      <x:c r="D1055" s="2" t="n">
        <x:v>2</x:v>
      </x:c>
      <x:c r="E1055" s="8"/>
      <x:c r="F1055" s="8"/>
      <x:c r="G1055" s="9"/>
      <x:c r="H1055" s="9"/>
      <x:c r="I1055" s="8"/>
      <x:c r="J1055" s="8"/>
      <x:c r="K1055" s="2" t="str">
        <x:f>IF(OR(E1055="",F1055="",G1055="",H1055="",I1055="",J1055=""),"",IF(E1055="Harness blocked","BLOCKED",IF(AND(E1055="Present",F1055="Supplied"),1,IF(OR(E1055="Missing",E1055="Not reached"),0,"CHECK"))))</x:f>
      </x:c>
      <x:c r="L1055" s="2" t="str">
        <x:f>IF(ISNUMBER(K1055),IF(AND(K1055=1,I1055="No"),1,0),K1055)</x:f>
      </x:c>
      <x:c r="M1055" s="2" t="n">
        <x:f>IF(ISNUMBER(K1055),1,0)</x:f>
        <x:v>0</x:v>
      </x:c>
    </x:row>
    <x:row r="1056" ht="24" customHeight="1">
      <x:c r="A1056" s="2" t="str">
        <x:v>S12.03</x:v>
      </x:c>
      <x:c r="B1056" s="2" t="str">
        <x:v>S12</x:v>
      </x:c>
      <x:c r="C1056" s="2" t="str">
        <x:v>qwen_connected</x:v>
      </x:c>
      <x:c r="D1056" s="2" t="n">
        <x:v>2</x:v>
      </x:c>
      <x:c r="E1056" s="8"/>
      <x:c r="F1056" s="8"/>
      <x:c r="G1056" s="9"/>
      <x:c r="H1056" s="9"/>
      <x:c r="I1056" s="8"/>
      <x:c r="J1056" s="8"/>
      <x:c r="K1056" s="2" t="str">
        <x:f>IF(OR(E1056="",F1056="",G1056="",H1056="",I1056="",J1056=""),"",IF(E1056="Harness blocked","BLOCKED",IF(AND(E1056="Present",F1056="Supplied"),1,IF(OR(E1056="Missing",E1056="Not reached"),0,"CHECK"))))</x:f>
      </x:c>
      <x:c r="L1056" s="2" t="str">
        <x:f>IF(ISNUMBER(K1056),IF(AND(K1056=1,I1056="No"),1,0),K1056)</x:f>
      </x:c>
      <x:c r="M1056" s="2" t="n">
        <x:f>IF(ISNUMBER(K1056),1,0)</x:f>
        <x:v>0</x:v>
      </x:c>
    </x:row>
    <x:row r="1057" ht="24" customHeight="1">
      <x:c r="A1057" s="2" t="str">
        <x:v>S12.04</x:v>
      </x:c>
      <x:c r="B1057" s="2" t="str">
        <x:v>S12</x:v>
      </x:c>
      <x:c r="C1057" s="2" t="str">
        <x:v>qwen_connected</x:v>
      </x:c>
      <x:c r="D1057" s="2" t="n">
        <x:v>2</x:v>
      </x:c>
      <x:c r="E1057" s="8"/>
      <x:c r="F1057" s="8"/>
      <x:c r="G1057" s="9"/>
      <x:c r="H1057" s="9"/>
      <x:c r="I1057" s="8"/>
      <x:c r="J1057" s="8"/>
      <x:c r="K1057" s="2" t="str">
        <x:f>IF(OR(E1057="",F1057="",G1057="",H1057="",I1057="",J1057=""),"",IF(E1057="Harness blocked","BLOCKED",IF(AND(E1057="Present",F1057="Supplied"),1,IF(OR(E1057="Missing",E1057="Not reached"),0,"CHECK"))))</x:f>
      </x:c>
      <x:c r="L1057" s="2" t="str">
        <x:f>IF(ISNUMBER(K1057),IF(AND(K1057=1,I1057="No"),1,0),K1057)</x:f>
      </x:c>
      <x:c r="M1057" s="2" t="n">
        <x:f>IF(ISNUMBER(K1057),1,0)</x:f>
        <x:v>0</x:v>
      </x:c>
    </x:row>
    <x:row r="1058" ht="24" customHeight="1">
      <x:c r="A1058" s="2" t="str">
        <x:v>S12.05</x:v>
      </x:c>
      <x:c r="B1058" s="2" t="str">
        <x:v>S12</x:v>
      </x:c>
      <x:c r="C1058" s="2" t="str">
        <x:v>qwen_connected</x:v>
      </x:c>
      <x:c r="D1058" s="2" t="n">
        <x:v>2</x:v>
      </x:c>
      <x:c r="E1058" s="8"/>
      <x:c r="F1058" s="8"/>
      <x:c r="G1058" s="9"/>
      <x:c r="H1058" s="9"/>
      <x:c r="I1058" s="8"/>
      <x:c r="J1058" s="8"/>
      <x:c r="K1058" s="2" t="str">
        <x:f>IF(OR(E1058="",F1058="",G1058="",H1058="",I1058="",J1058=""),"",IF(E1058="Harness blocked","BLOCKED",IF(AND(E1058="Present",F1058="Supplied"),1,IF(OR(E1058="Missing",E1058="Not reached"),0,"CHECK"))))</x:f>
      </x:c>
      <x:c r="L1058" s="2" t="str">
        <x:f>IF(ISNUMBER(K1058),IF(AND(K1058=1,I1058="No"),1,0),K1058)</x:f>
      </x:c>
      <x:c r="M1058" s="2" t="n">
        <x:f>IF(ISNUMBER(K1058),1,0)</x:f>
        <x:v>0</x:v>
      </x:c>
    </x:row>
    <x:row r="1059" ht="24" customHeight="1">
      <x:c r="A1059" s="2" t="str">
        <x:v>S12.06</x:v>
      </x:c>
      <x:c r="B1059" s="2" t="str">
        <x:v>S12</x:v>
      </x:c>
      <x:c r="C1059" s="2" t="str">
        <x:v>qwen_connected</x:v>
      </x:c>
      <x:c r="D1059" s="2" t="n">
        <x:v>2</x:v>
      </x:c>
      <x:c r="E1059" s="8"/>
      <x:c r="F1059" s="8"/>
      <x:c r="G1059" s="9"/>
      <x:c r="H1059" s="9"/>
      <x:c r="I1059" s="8"/>
      <x:c r="J1059" s="8"/>
      <x:c r="K1059" s="2" t="str">
        <x:f>IF(OR(E1059="",F1059="",G1059="",H1059="",I1059="",J1059=""),"",IF(E1059="Harness blocked","BLOCKED",IF(AND(E1059="Present",F1059="Supplied"),1,IF(OR(E1059="Missing",E1059="Not reached"),0,"CHECK"))))</x:f>
      </x:c>
      <x:c r="L1059" s="2" t="str">
        <x:f>IF(ISNUMBER(K1059),IF(AND(K1059=1,I1059="No"),1,0),K1059)</x:f>
      </x:c>
      <x:c r="M1059" s="2" t="n">
        <x:f>IF(ISNUMBER(K1059),1,0)</x:f>
        <x:v>0</x:v>
      </x:c>
    </x:row>
    <x:row r="1060" ht="24" customHeight="1">
      <x:c r="A1060" s="2" t="str">
        <x:v>S12.07</x:v>
      </x:c>
      <x:c r="B1060" s="2" t="str">
        <x:v>S12</x:v>
      </x:c>
      <x:c r="C1060" s="2" t="str">
        <x:v>qwen_connected</x:v>
      </x:c>
      <x:c r="D1060" s="2" t="n">
        <x:v>2</x:v>
      </x:c>
      <x:c r="E1060" s="8"/>
      <x:c r="F1060" s="8"/>
      <x:c r="G1060" s="9"/>
      <x:c r="H1060" s="9"/>
      <x:c r="I1060" s="8"/>
      <x:c r="J1060" s="8"/>
      <x:c r="K1060" s="2" t="str">
        <x:f>IF(OR(E1060="",F1060="",G1060="",H1060="",I1060="",J1060=""),"",IF(E1060="Harness blocked","BLOCKED",IF(AND(E1060="Present",F1060="Supplied"),1,IF(OR(E1060="Missing",E1060="Not reached"),0,"CHECK"))))</x:f>
      </x:c>
      <x:c r="L1060" s="2" t="str">
        <x:f>IF(ISNUMBER(K1060),IF(AND(K1060=1,I1060="No"),1,0),K1060)</x:f>
      </x:c>
      <x:c r="M1060" s="2" t="n">
        <x:f>IF(ISNUMBER(K1060),1,0)</x:f>
        <x:v>0</x:v>
      </x:c>
    </x:row>
    <x:row r="1061" ht="24" customHeight="1">
      <x:c r="A1061" s="2" t="str">
        <x:v>S12.08</x:v>
      </x:c>
      <x:c r="B1061" s="2" t="str">
        <x:v>S12</x:v>
      </x:c>
      <x:c r="C1061" s="2" t="str">
        <x:v>qwen_connected</x:v>
      </x:c>
      <x:c r="D1061" s="2" t="n">
        <x:v>2</x:v>
      </x:c>
      <x:c r="E1061" s="8"/>
      <x:c r="F1061" s="8"/>
      <x:c r="G1061" s="9"/>
      <x:c r="H1061" s="9"/>
      <x:c r="I1061" s="8"/>
      <x:c r="J1061" s="8"/>
      <x:c r="K1061" s="2" t="str">
        <x:f>IF(OR(E1061="",F1061="",G1061="",H1061="",I1061="",J1061=""),"",IF(E1061="Harness blocked","BLOCKED",IF(AND(E1061="Present",F1061="Supplied"),1,IF(OR(E1061="Missing",E1061="Not reached"),0,"CHECK"))))</x:f>
      </x:c>
      <x:c r="L1061" s="2" t="str">
        <x:f>IF(ISNUMBER(K1061),IF(AND(K1061=1,I1061="No"),1,0),K1061)</x:f>
      </x:c>
      <x:c r="M1061" s="2" t="n">
        <x:f>IF(ISNUMBER(K1061),1,0)</x:f>
        <x:v>0</x:v>
      </x:c>
    </x:row>
    <x:row r="1062" ht="24" customHeight="1">
      <x:c r="A1062" s="2" t="str">
        <x:v>S01.01</x:v>
      </x:c>
      <x:c r="B1062" s="2" t="str">
        <x:v>S01</x:v>
      </x:c>
      <x:c r="C1062" s="2" t="str">
        <x:v>qwen_connected</x:v>
      </x:c>
      <x:c r="D1062" s="2" t="n">
        <x:v>3</x:v>
      </x:c>
      <x:c r="E1062" s="8"/>
      <x:c r="F1062" s="8"/>
      <x:c r="G1062" s="9"/>
      <x:c r="H1062" s="9"/>
      <x:c r="I1062" s="8"/>
      <x:c r="J1062" s="8"/>
      <x:c r="K1062" s="2" t="str">
        <x:f>IF(OR(E1062="",F1062="",G1062="",H1062="",I1062="",J1062=""),"",IF(E1062="Harness blocked","BLOCKED",IF(AND(E1062="Present",F1062="Supplied"),1,IF(OR(E1062="Missing",E1062="Not reached"),0,"CHECK"))))</x:f>
      </x:c>
      <x:c r="L1062" s="2" t="str">
        <x:f>IF(ISNUMBER(K1062),IF(AND(K1062=1,I1062="No"),1,0),K1062)</x:f>
      </x:c>
      <x:c r="M1062" s="2" t="n">
        <x:f>IF(ISNUMBER(K1062),1,0)</x:f>
        <x:v>0</x:v>
      </x:c>
    </x:row>
    <x:row r="1063" ht="24" customHeight="1">
      <x:c r="A1063" s="2" t="str">
        <x:v>S01.02</x:v>
      </x:c>
      <x:c r="B1063" s="2" t="str">
        <x:v>S01</x:v>
      </x:c>
      <x:c r="C1063" s="2" t="str">
        <x:v>qwen_connected</x:v>
      </x:c>
      <x:c r="D1063" s="2" t="n">
        <x:v>3</x:v>
      </x:c>
      <x:c r="E1063" s="8"/>
      <x:c r="F1063" s="8"/>
      <x:c r="G1063" s="9"/>
      <x:c r="H1063" s="9"/>
      <x:c r="I1063" s="8"/>
      <x:c r="J1063" s="8"/>
      <x:c r="K1063" s="2" t="str">
        <x:f>IF(OR(E1063="",F1063="",G1063="",H1063="",I1063="",J1063=""),"",IF(E1063="Harness blocked","BLOCKED",IF(AND(E1063="Present",F1063="Supplied"),1,IF(OR(E1063="Missing",E1063="Not reached"),0,"CHECK"))))</x:f>
      </x:c>
      <x:c r="L1063" s="2" t="str">
        <x:f>IF(ISNUMBER(K1063),IF(AND(K1063=1,I1063="No"),1,0),K1063)</x:f>
      </x:c>
      <x:c r="M1063" s="2" t="n">
        <x:f>IF(ISNUMBER(K1063),1,0)</x:f>
        <x:v>0</x:v>
      </x:c>
    </x:row>
    <x:row r="1064" ht="24" customHeight="1">
      <x:c r="A1064" s="2" t="str">
        <x:v>S01.03</x:v>
      </x:c>
      <x:c r="B1064" s="2" t="str">
        <x:v>S01</x:v>
      </x:c>
      <x:c r="C1064" s="2" t="str">
        <x:v>qwen_connected</x:v>
      </x:c>
      <x:c r="D1064" s="2" t="n">
        <x:v>3</x:v>
      </x:c>
      <x:c r="E1064" s="8"/>
      <x:c r="F1064" s="8"/>
      <x:c r="G1064" s="9"/>
      <x:c r="H1064" s="9"/>
      <x:c r="I1064" s="8"/>
      <x:c r="J1064" s="8"/>
      <x:c r="K1064" s="2" t="str">
        <x:f>IF(OR(E1064="",F1064="",G1064="",H1064="",I1064="",J1064=""),"",IF(E1064="Harness blocked","BLOCKED",IF(AND(E1064="Present",F1064="Supplied"),1,IF(OR(E1064="Missing",E1064="Not reached"),0,"CHECK"))))</x:f>
      </x:c>
      <x:c r="L1064" s="2" t="str">
        <x:f>IF(ISNUMBER(K1064),IF(AND(K1064=1,I1064="No"),1,0),K1064)</x:f>
      </x:c>
      <x:c r="M1064" s="2" t="n">
        <x:f>IF(ISNUMBER(K1064),1,0)</x:f>
        <x:v>0</x:v>
      </x:c>
    </x:row>
    <x:row r="1065" ht="24" customHeight="1">
      <x:c r="A1065" s="2" t="str">
        <x:v>S01.04</x:v>
      </x:c>
      <x:c r="B1065" s="2" t="str">
        <x:v>S01</x:v>
      </x:c>
      <x:c r="C1065" s="2" t="str">
        <x:v>qwen_connected</x:v>
      </x:c>
      <x:c r="D1065" s="2" t="n">
        <x:v>3</x:v>
      </x:c>
      <x:c r="E1065" s="8"/>
      <x:c r="F1065" s="8"/>
      <x:c r="G1065" s="9"/>
      <x:c r="H1065" s="9"/>
      <x:c r="I1065" s="8"/>
      <x:c r="J1065" s="8"/>
      <x:c r="K1065" s="2" t="str">
        <x:f>IF(OR(E1065="",F1065="",G1065="",H1065="",I1065="",J1065=""),"",IF(E1065="Harness blocked","BLOCKED",IF(AND(E1065="Present",F1065="Supplied"),1,IF(OR(E1065="Missing",E1065="Not reached"),0,"CHECK"))))</x:f>
      </x:c>
      <x:c r="L1065" s="2" t="str">
        <x:f>IF(ISNUMBER(K1065),IF(AND(K1065=1,I1065="No"),1,0),K1065)</x:f>
      </x:c>
      <x:c r="M1065" s="2" t="n">
        <x:f>IF(ISNUMBER(K1065),1,0)</x:f>
        <x:v>0</x:v>
      </x:c>
    </x:row>
    <x:row r="1066" ht="24" customHeight="1">
      <x:c r="A1066" s="2" t="str">
        <x:v>S01.05</x:v>
      </x:c>
      <x:c r="B1066" s="2" t="str">
        <x:v>S01</x:v>
      </x:c>
      <x:c r="C1066" s="2" t="str">
        <x:v>qwen_connected</x:v>
      </x:c>
      <x:c r="D1066" s="2" t="n">
        <x:v>3</x:v>
      </x:c>
      <x:c r="E1066" s="8"/>
      <x:c r="F1066" s="8"/>
      <x:c r="G1066" s="9"/>
      <x:c r="H1066" s="9"/>
      <x:c r="I1066" s="8"/>
      <x:c r="J1066" s="8"/>
      <x:c r="K1066" s="2" t="str">
        <x:f>IF(OR(E1066="",F1066="",G1066="",H1066="",I1066="",J1066=""),"",IF(E1066="Harness blocked","BLOCKED",IF(AND(E1066="Present",F1066="Supplied"),1,IF(OR(E1066="Missing",E1066="Not reached"),0,"CHECK"))))</x:f>
      </x:c>
      <x:c r="L1066" s="2" t="str">
        <x:f>IF(ISNUMBER(K1066),IF(AND(K1066=1,I1066="No"),1,0),K1066)</x:f>
      </x:c>
      <x:c r="M1066" s="2" t="n">
        <x:f>IF(ISNUMBER(K1066),1,0)</x:f>
        <x:v>0</x:v>
      </x:c>
    </x:row>
    <x:row r="1067" ht="24" customHeight="1">
      <x:c r="A1067" s="2" t="str">
        <x:v>S01.06</x:v>
      </x:c>
      <x:c r="B1067" s="2" t="str">
        <x:v>S01</x:v>
      </x:c>
      <x:c r="C1067" s="2" t="str">
        <x:v>qwen_connected</x:v>
      </x:c>
      <x:c r="D1067" s="2" t="n">
        <x:v>3</x:v>
      </x:c>
      <x:c r="E1067" s="8"/>
      <x:c r="F1067" s="8"/>
      <x:c r="G1067" s="9"/>
      <x:c r="H1067" s="9"/>
      <x:c r="I1067" s="8"/>
      <x:c r="J1067" s="8"/>
      <x:c r="K1067" s="2" t="str">
        <x:f>IF(OR(E1067="",F1067="",G1067="",H1067="",I1067="",J1067=""),"",IF(E1067="Harness blocked","BLOCKED",IF(AND(E1067="Present",F1067="Supplied"),1,IF(OR(E1067="Missing",E1067="Not reached"),0,"CHECK"))))</x:f>
      </x:c>
      <x:c r="L1067" s="2" t="str">
        <x:f>IF(ISNUMBER(K1067),IF(AND(K1067=1,I1067="No"),1,0),K1067)</x:f>
      </x:c>
      <x:c r="M1067" s="2" t="n">
        <x:f>IF(ISNUMBER(K1067),1,0)</x:f>
        <x:v>0</x:v>
      </x:c>
    </x:row>
    <x:row r="1068" ht="24" customHeight="1">
      <x:c r="A1068" s="2" t="str">
        <x:v>S01.07</x:v>
      </x:c>
      <x:c r="B1068" s="2" t="str">
        <x:v>S01</x:v>
      </x:c>
      <x:c r="C1068" s="2" t="str">
        <x:v>qwen_connected</x:v>
      </x:c>
      <x:c r="D1068" s="2" t="n">
        <x:v>3</x:v>
      </x:c>
      <x:c r="E1068" s="8"/>
      <x:c r="F1068" s="8"/>
      <x:c r="G1068" s="9"/>
      <x:c r="H1068" s="9"/>
      <x:c r="I1068" s="8"/>
      <x:c r="J1068" s="8"/>
      <x:c r="K1068" s="2" t="str">
        <x:f>IF(OR(E1068="",F1068="",G1068="",H1068="",I1068="",J1068=""),"",IF(E1068="Harness blocked","BLOCKED",IF(AND(E1068="Present",F1068="Supplied"),1,IF(OR(E1068="Missing",E1068="Not reached"),0,"CHECK"))))</x:f>
      </x:c>
      <x:c r="L1068" s="2" t="str">
        <x:f>IF(ISNUMBER(K1068),IF(AND(K1068=1,I1068="No"),1,0),K1068)</x:f>
      </x:c>
      <x:c r="M1068" s="2" t="n">
        <x:f>IF(ISNUMBER(K1068),1,0)</x:f>
        <x:v>0</x:v>
      </x:c>
    </x:row>
    <x:row r="1069" ht="24" customHeight="1">
      <x:c r="A1069" s="2" t="str">
        <x:v>S01.08</x:v>
      </x:c>
      <x:c r="B1069" s="2" t="str">
        <x:v>S01</x:v>
      </x:c>
      <x:c r="C1069" s="2" t="str">
        <x:v>qwen_connected</x:v>
      </x:c>
      <x:c r="D1069" s="2" t="n">
        <x:v>3</x:v>
      </x:c>
      <x:c r="E1069" s="8"/>
      <x:c r="F1069" s="8"/>
      <x:c r="G1069" s="9"/>
      <x:c r="H1069" s="9"/>
      <x:c r="I1069" s="8"/>
      <x:c r="J1069" s="8"/>
      <x:c r="K1069" s="2" t="str">
        <x:f>IF(OR(E1069="",F1069="",G1069="",H1069="",I1069="",J1069=""),"",IF(E1069="Harness blocked","BLOCKED",IF(AND(E1069="Present",F1069="Supplied"),1,IF(OR(E1069="Missing",E1069="Not reached"),0,"CHECK"))))</x:f>
      </x:c>
      <x:c r="L1069" s="2" t="str">
        <x:f>IF(ISNUMBER(K1069),IF(AND(K1069=1,I1069="No"),1,0),K1069)</x:f>
      </x:c>
      <x:c r="M1069" s="2" t="n">
        <x:f>IF(ISNUMBER(K1069),1,0)</x:f>
        <x:v>0</x:v>
      </x:c>
    </x:row>
    <x:row r="1070" ht="24" customHeight="1">
      <x:c r="A1070" s="2" t="str">
        <x:v>S02.01</x:v>
      </x:c>
      <x:c r="B1070" s="2" t="str">
        <x:v>S02</x:v>
      </x:c>
      <x:c r="C1070" s="2" t="str">
        <x:v>qwen_connected</x:v>
      </x:c>
      <x:c r="D1070" s="2" t="n">
        <x:v>3</x:v>
      </x:c>
      <x:c r="E1070" s="8"/>
      <x:c r="F1070" s="8"/>
      <x:c r="G1070" s="9"/>
      <x:c r="H1070" s="9"/>
      <x:c r="I1070" s="8"/>
      <x:c r="J1070" s="8"/>
      <x:c r="K1070" s="2" t="str">
        <x:f>IF(OR(E1070="",F1070="",G1070="",H1070="",I1070="",J1070=""),"",IF(E1070="Harness blocked","BLOCKED",IF(AND(E1070="Present",F1070="Supplied"),1,IF(OR(E1070="Missing",E1070="Not reached"),0,"CHECK"))))</x:f>
      </x:c>
      <x:c r="L1070" s="2" t="str">
        <x:f>IF(ISNUMBER(K1070),IF(AND(K1070=1,I1070="No"),1,0),K1070)</x:f>
      </x:c>
      <x:c r="M1070" s="2" t="n">
        <x:f>IF(ISNUMBER(K1070),1,0)</x:f>
        <x:v>0</x:v>
      </x:c>
    </x:row>
    <x:row r="1071" ht="24" customHeight="1">
      <x:c r="A1071" s="2" t="str">
        <x:v>S02.02</x:v>
      </x:c>
      <x:c r="B1071" s="2" t="str">
        <x:v>S02</x:v>
      </x:c>
      <x:c r="C1071" s="2" t="str">
        <x:v>qwen_connected</x:v>
      </x:c>
      <x:c r="D1071" s="2" t="n">
        <x:v>3</x:v>
      </x:c>
      <x:c r="E1071" s="8"/>
      <x:c r="F1071" s="8"/>
      <x:c r="G1071" s="9"/>
      <x:c r="H1071" s="9"/>
      <x:c r="I1071" s="8"/>
      <x:c r="J1071" s="8"/>
      <x:c r="K1071" s="2" t="str">
        <x:f>IF(OR(E1071="",F1071="",G1071="",H1071="",I1071="",J1071=""),"",IF(E1071="Harness blocked","BLOCKED",IF(AND(E1071="Present",F1071="Supplied"),1,IF(OR(E1071="Missing",E1071="Not reached"),0,"CHECK"))))</x:f>
      </x:c>
      <x:c r="L1071" s="2" t="str">
        <x:f>IF(ISNUMBER(K1071),IF(AND(K1071=1,I1071="No"),1,0),K1071)</x:f>
      </x:c>
      <x:c r="M1071" s="2" t="n">
        <x:f>IF(ISNUMBER(K1071),1,0)</x:f>
        <x:v>0</x:v>
      </x:c>
    </x:row>
    <x:row r="1072" ht="24" customHeight="1">
      <x:c r="A1072" s="2" t="str">
        <x:v>S02.03</x:v>
      </x:c>
      <x:c r="B1072" s="2" t="str">
        <x:v>S02</x:v>
      </x:c>
      <x:c r="C1072" s="2" t="str">
        <x:v>qwen_connected</x:v>
      </x:c>
      <x:c r="D1072" s="2" t="n">
        <x:v>3</x:v>
      </x:c>
      <x:c r="E1072" s="8"/>
      <x:c r="F1072" s="8"/>
      <x:c r="G1072" s="9"/>
      <x:c r="H1072" s="9"/>
      <x:c r="I1072" s="8"/>
      <x:c r="J1072" s="8"/>
      <x:c r="K1072" s="2" t="str">
        <x:f>IF(OR(E1072="",F1072="",G1072="",H1072="",I1072="",J1072=""),"",IF(E1072="Harness blocked","BLOCKED",IF(AND(E1072="Present",F1072="Supplied"),1,IF(OR(E1072="Missing",E1072="Not reached"),0,"CHECK"))))</x:f>
      </x:c>
      <x:c r="L1072" s="2" t="str">
        <x:f>IF(ISNUMBER(K1072),IF(AND(K1072=1,I1072="No"),1,0),K1072)</x:f>
      </x:c>
      <x:c r="M1072" s="2" t="n">
        <x:f>IF(ISNUMBER(K1072),1,0)</x:f>
        <x:v>0</x:v>
      </x:c>
    </x:row>
    <x:row r="1073" ht="24" customHeight="1">
      <x:c r="A1073" s="2" t="str">
        <x:v>S02.04</x:v>
      </x:c>
      <x:c r="B1073" s="2" t="str">
        <x:v>S02</x:v>
      </x:c>
      <x:c r="C1073" s="2" t="str">
        <x:v>qwen_connected</x:v>
      </x:c>
      <x:c r="D1073" s="2" t="n">
        <x:v>3</x:v>
      </x:c>
      <x:c r="E1073" s="8"/>
      <x:c r="F1073" s="8"/>
      <x:c r="G1073" s="9"/>
      <x:c r="H1073" s="9"/>
      <x:c r="I1073" s="8"/>
      <x:c r="J1073" s="8"/>
      <x:c r="K1073" s="2" t="str">
        <x:f>IF(OR(E1073="",F1073="",G1073="",H1073="",I1073="",J1073=""),"",IF(E1073="Harness blocked","BLOCKED",IF(AND(E1073="Present",F1073="Supplied"),1,IF(OR(E1073="Missing",E1073="Not reached"),0,"CHECK"))))</x:f>
      </x:c>
      <x:c r="L1073" s="2" t="str">
        <x:f>IF(ISNUMBER(K1073),IF(AND(K1073=1,I1073="No"),1,0),K1073)</x:f>
      </x:c>
      <x:c r="M1073" s="2" t="n">
        <x:f>IF(ISNUMBER(K1073),1,0)</x:f>
        <x:v>0</x:v>
      </x:c>
    </x:row>
    <x:row r="1074" ht="24" customHeight="1">
      <x:c r="A1074" s="2" t="str">
        <x:v>S02.05</x:v>
      </x:c>
      <x:c r="B1074" s="2" t="str">
        <x:v>S02</x:v>
      </x:c>
      <x:c r="C1074" s="2" t="str">
        <x:v>qwen_connected</x:v>
      </x:c>
      <x:c r="D1074" s="2" t="n">
        <x:v>3</x:v>
      </x:c>
      <x:c r="E1074" s="8"/>
      <x:c r="F1074" s="8"/>
      <x:c r="G1074" s="9"/>
      <x:c r="H1074" s="9"/>
      <x:c r="I1074" s="8"/>
      <x:c r="J1074" s="8"/>
      <x:c r="K1074" s="2" t="str">
        <x:f>IF(OR(E1074="",F1074="",G1074="",H1074="",I1074="",J1074=""),"",IF(E1074="Harness blocked","BLOCKED",IF(AND(E1074="Present",F1074="Supplied"),1,IF(OR(E1074="Missing",E1074="Not reached"),0,"CHECK"))))</x:f>
      </x:c>
      <x:c r="L1074" s="2" t="str">
        <x:f>IF(ISNUMBER(K1074),IF(AND(K1074=1,I1074="No"),1,0),K1074)</x:f>
      </x:c>
      <x:c r="M1074" s="2" t="n">
        <x:f>IF(ISNUMBER(K1074),1,0)</x:f>
        <x:v>0</x:v>
      </x:c>
    </x:row>
    <x:row r="1075" ht="24" customHeight="1">
      <x:c r="A1075" s="2" t="str">
        <x:v>S02.06</x:v>
      </x:c>
      <x:c r="B1075" s="2" t="str">
        <x:v>S02</x:v>
      </x:c>
      <x:c r="C1075" s="2" t="str">
        <x:v>qwen_connected</x:v>
      </x:c>
      <x:c r="D1075" s="2" t="n">
        <x:v>3</x:v>
      </x:c>
      <x:c r="E1075" s="8"/>
      <x:c r="F1075" s="8"/>
      <x:c r="G1075" s="9"/>
      <x:c r="H1075" s="9"/>
      <x:c r="I1075" s="8"/>
      <x:c r="J1075" s="8"/>
      <x:c r="K1075" s="2" t="str">
        <x:f>IF(OR(E1075="",F1075="",G1075="",H1075="",I1075="",J1075=""),"",IF(E1075="Harness blocked","BLOCKED",IF(AND(E1075="Present",F1075="Supplied"),1,IF(OR(E1075="Missing",E1075="Not reached"),0,"CHECK"))))</x:f>
      </x:c>
      <x:c r="L1075" s="2" t="str">
        <x:f>IF(ISNUMBER(K1075),IF(AND(K1075=1,I1075="No"),1,0),K1075)</x:f>
      </x:c>
      <x:c r="M1075" s="2" t="n">
        <x:f>IF(ISNUMBER(K1075),1,0)</x:f>
        <x:v>0</x:v>
      </x:c>
    </x:row>
    <x:row r="1076" ht="24" customHeight="1">
      <x:c r="A1076" s="2" t="str">
        <x:v>S02.07</x:v>
      </x:c>
      <x:c r="B1076" s="2" t="str">
        <x:v>S02</x:v>
      </x:c>
      <x:c r="C1076" s="2" t="str">
        <x:v>qwen_connected</x:v>
      </x:c>
      <x:c r="D1076" s="2" t="n">
        <x:v>3</x:v>
      </x:c>
      <x:c r="E1076" s="8"/>
      <x:c r="F1076" s="8"/>
      <x:c r="G1076" s="9"/>
      <x:c r="H1076" s="9"/>
      <x:c r="I1076" s="8"/>
      <x:c r="J1076" s="8"/>
      <x:c r="K1076" s="2" t="str">
        <x:f>IF(OR(E1076="",F1076="",G1076="",H1076="",I1076="",J1076=""),"",IF(E1076="Harness blocked","BLOCKED",IF(AND(E1076="Present",F1076="Supplied"),1,IF(OR(E1076="Missing",E1076="Not reached"),0,"CHECK"))))</x:f>
      </x:c>
      <x:c r="L1076" s="2" t="str">
        <x:f>IF(ISNUMBER(K1076),IF(AND(K1076=1,I1076="No"),1,0),K1076)</x:f>
      </x:c>
      <x:c r="M1076" s="2" t="n">
        <x:f>IF(ISNUMBER(K1076),1,0)</x:f>
        <x:v>0</x:v>
      </x:c>
    </x:row>
    <x:row r="1077" ht="24" customHeight="1">
      <x:c r="A1077" s="2" t="str">
        <x:v>S02.08</x:v>
      </x:c>
      <x:c r="B1077" s="2" t="str">
        <x:v>S02</x:v>
      </x:c>
      <x:c r="C1077" s="2" t="str">
        <x:v>qwen_connected</x:v>
      </x:c>
      <x:c r="D1077" s="2" t="n">
        <x:v>3</x:v>
      </x:c>
      <x:c r="E1077" s="8"/>
      <x:c r="F1077" s="8"/>
      <x:c r="G1077" s="9"/>
      <x:c r="H1077" s="9"/>
      <x:c r="I1077" s="8"/>
      <x:c r="J1077" s="8"/>
      <x:c r="K1077" s="2" t="str">
        <x:f>IF(OR(E1077="",F1077="",G1077="",H1077="",I1077="",J1077=""),"",IF(E1077="Harness blocked","BLOCKED",IF(AND(E1077="Present",F1077="Supplied"),1,IF(OR(E1077="Missing",E1077="Not reached"),0,"CHECK"))))</x:f>
      </x:c>
      <x:c r="L1077" s="2" t="str">
        <x:f>IF(ISNUMBER(K1077),IF(AND(K1077=1,I1077="No"),1,0),K1077)</x:f>
      </x:c>
      <x:c r="M1077" s="2" t="n">
        <x:f>IF(ISNUMBER(K1077),1,0)</x:f>
        <x:v>0</x:v>
      </x:c>
    </x:row>
    <x:row r="1078" ht="24" customHeight="1">
      <x:c r="A1078" s="2" t="str">
        <x:v>S03.01</x:v>
      </x:c>
      <x:c r="B1078" s="2" t="str">
        <x:v>S03</x:v>
      </x:c>
      <x:c r="C1078" s="2" t="str">
        <x:v>qwen_connected</x:v>
      </x:c>
      <x:c r="D1078" s="2" t="n">
        <x:v>3</x:v>
      </x:c>
      <x:c r="E1078" s="8"/>
      <x:c r="F1078" s="8"/>
      <x:c r="G1078" s="9"/>
      <x:c r="H1078" s="9"/>
      <x:c r="I1078" s="8"/>
      <x:c r="J1078" s="8"/>
      <x:c r="K1078" s="2" t="str">
        <x:f>IF(OR(E1078="",F1078="",G1078="",H1078="",I1078="",J1078=""),"",IF(E1078="Harness blocked","BLOCKED",IF(AND(E1078="Present",F1078="Supplied"),1,IF(OR(E1078="Missing",E1078="Not reached"),0,"CHECK"))))</x:f>
      </x:c>
      <x:c r="L1078" s="2" t="str">
        <x:f>IF(ISNUMBER(K1078),IF(AND(K1078=1,I1078="No"),1,0),K1078)</x:f>
      </x:c>
      <x:c r="M1078" s="2" t="n">
        <x:f>IF(ISNUMBER(K1078),1,0)</x:f>
        <x:v>0</x:v>
      </x:c>
    </x:row>
    <x:row r="1079" ht="24" customHeight="1">
      <x:c r="A1079" s="2" t="str">
        <x:v>S03.02</x:v>
      </x:c>
      <x:c r="B1079" s="2" t="str">
        <x:v>S03</x:v>
      </x:c>
      <x:c r="C1079" s="2" t="str">
        <x:v>qwen_connected</x:v>
      </x:c>
      <x:c r="D1079" s="2" t="n">
        <x:v>3</x:v>
      </x:c>
      <x:c r="E1079" s="8"/>
      <x:c r="F1079" s="8"/>
      <x:c r="G1079" s="9"/>
      <x:c r="H1079" s="9"/>
      <x:c r="I1079" s="8"/>
      <x:c r="J1079" s="8"/>
      <x:c r="K1079" s="2" t="str">
        <x:f>IF(OR(E1079="",F1079="",G1079="",H1079="",I1079="",J1079=""),"",IF(E1079="Harness blocked","BLOCKED",IF(AND(E1079="Present",F1079="Supplied"),1,IF(OR(E1079="Missing",E1079="Not reached"),0,"CHECK"))))</x:f>
      </x:c>
      <x:c r="L1079" s="2" t="str">
        <x:f>IF(ISNUMBER(K1079),IF(AND(K1079=1,I1079="No"),1,0),K1079)</x:f>
      </x:c>
      <x:c r="M1079" s="2" t="n">
        <x:f>IF(ISNUMBER(K1079),1,0)</x:f>
        <x:v>0</x:v>
      </x:c>
    </x:row>
    <x:row r="1080" ht="24" customHeight="1">
      <x:c r="A1080" s="2" t="str">
        <x:v>S03.03</x:v>
      </x:c>
      <x:c r="B1080" s="2" t="str">
        <x:v>S03</x:v>
      </x:c>
      <x:c r="C1080" s="2" t="str">
        <x:v>qwen_connected</x:v>
      </x:c>
      <x:c r="D1080" s="2" t="n">
        <x:v>3</x:v>
      </x:c>
      <x:c r="E1080" s="8"/>
      <x:c r="F1080" s="8"/>
      <x:c r="G1080" s="9"/>
      <x:c r="H1080" s="9"/>
      <x:c r="I1080" s="8"/>
      <x:c r="J1080" s="8"/>
      <x:c r="K1080" s="2" t="str">
        <x:f>IF(OR(E1080="",F1080="",G1080="",H1080="",I1080="",J1080=""),"",IF(E1080="Harness blocked","BLOCKED",IF(AND(E1080="Present",F1080="Supplied"),1,IF(OR(E1080="Missing",E1080="Not reached"),0,"CHECK"))))</x:f>
      </x:c>
      <x:c r="L1080" s="2" t="str">
        <x:f>IF(ISNUMBER(K1080),IF(AND(K1080=1,I1080="No"),1,0),K1080)</x:f>
      </x:c>
      <x:c r="M1080" s="2" t="n">
        <x:f>IF(ISNUMBER(K1080),1,0)</x:f>
        <x:v>0</x:v>
      </x:c>
    </x:row>
    <x:row r="1081" ht="24" customHeight="1">
      <x:c r="A1081" s="2" t="str">
        <x:v>S03.04</x:v>
      </x:c>
      <x:c r="B1081" s="2" t="str">
        <x:v>S03</x:v>
      </x:c>
      <x:c r="C1081" s="2" t="str">
        <x:v>qwen_connected</x:v>
      </x:c>
      <x:c r="D1081" s="2" t="n">
        <x:v>3</x:v>
      </x:c>
      <x:c r="E1081" s="8"/>
      <x:c r="F1081" s="8"/>
      <x:c r="G1081" s="9"/>
      <x:c r="H1081" s="9"/>
      <x:c r="I1081" s="8"/>
      <x:c r="J1081" s="8"/>
      <x:c r="K1081" s="2" t="str">
        <x:f>IF(OR(E1081="",F1081="",G1081="",H1081="",I1081="",J1081=""),"",IF(E1081="Harness blocked","BLOCKED",IF(AND(E1081="Present",F1081="Supplied"),1,IF(OR(E1081="Missing",E1081="Not reached"),0,"CHECK"))))</x:f>
      </x:c>
      <x:c r="L1081" s="2" t="str">
        <x:f>IF(ISNUMBER(K1081),IF(AND(K1081=1,I1081="No"),1,0),K1081)</x:f>
      </x:c>
      <x:c r="M1081" s="2" t="n">
        <x:f>IF(ISNUMBER(K1081),1,0)</x:f>
        <x:v>0</x:v>
      </x:c>
    </x:row>
    <x:row r="1082" ht="24" customHeight="1">
      <x:c r="A1082" s="2" t="str">
        <x:v>S03.05</x:v>
      </x:c>
      <x:c r="B1082" s="2" t="str">
        <x:v>S03</x:v>
      </x:c>
      <x:c r="C1082" s="2" t="str">
        <x:v>qwen_connected</x:v>
      </x:c>
      <x:c r="D1082" s="2" t="n">
        <x:v>3</x:v>
      </x:c>
      <x:c r="E1082" s="8"/>
      <x:c r="F1082" s="8"/>
      <x:c r="G1082" s="9"/>
      <x:c r="H1082" s="9"/>
      <x:c r="I1082" s="8"/>
      <x:c r="J1082" s="8"/>
      <x:c r="K1082" s="2" t="str">
        <x:f>IF(OR(E1082="",F1082="",G1082="",H1082="",I1082="",J1082=""),"",IF(E1082="Harness blocked","BLOCKED",IF(AND(E1082="Present",F1082="Supplied"),1,IF(OR(E1082="Missing",E1082="Not reached"),0,"CHECK"))))</x:f>
      </x:c>
      <x:c r="L1082" s="2" t="str">
        <x:f>IF(ISNUMBER(K1082),IF(AND(K1082=1,I1082="No"),1,0),K1082)</x:f>
      </x:c>
      <x:c r="M1082" s="2" t="n">
        <x:f>IF(ISNUMBER(K1082),1,0)</x:f>
        <x:v>0</x:v>
      </x:c>
    </x:row>
    <x:row r="1083" ht="24" customHeight="1">
      <x:c r="A1083" s="2" t="str">
        <x:v>S03.06</x:v>
      </x:c>
      <x:c r="B1083" s="2" t="str">
        <x:v>S03</x:v>
      </x:c>
      <x:c r="C1083" s="2" t="str">
        <x:v>qwen_connected</x:v>
      </x:c>
      <x:c r="D1083" s="2" t="n">
        <x:v>3</x:v>
      </x:c>
      <x:c r="E1083" s="8"/>
      <x:c r="F1083" s="8"/>
      <x:c r="G1083" s="9"/>
      <x:c r="H1083" s="9"/>
      <x:c r="I1083" s="8"/>
      <x:c r="J1083" s="8"/>
      <x:c r="K1083" s="2" t="str">
        <x:f>IF(OR(E1083="",F1083="",G1083="",H1083="",I1083="",J1083=""),"",IF(E1083="Harness blocked","BLOCKED",IF(AND(E1083="Present",F1083="Supplied"),1,IF(OR(E1083="Missing",E1083="Not reached"),0,"CHECK"))))</x:f>
      </x:c>
      <x:c r="L1083" s="2" t="str">
        <x:f>IF(ISNUMBER(K1083),IF(AND(K1083=1,I1083="No"),1,0),K1083)</x:f>
      </x:c>
      <x:c r="M1083" s="2" t="n">
        <x:f>IF(ISNUMBER(K1083),1,0)</x:f>
        <x:v>0</x:v>
      </x:c>
    </x:row>
    <x:row r="1084" ht="24" customHeight="1">
      <x:c r="A1084" s="2" t="str">
        <x:v>S03.07</x:v>
      </x:c>
      <x:c r="B1084" s="2" t="str">
        <x:v>S03</x:v>
      </x:c>
      <x:c r="C1084" s="2" t="str">
        <x:v>qwen_connected</x:v>
      </x:c>
      <x:c r="D1084" s="2" t="n">
        <x:v>3</x:v>
      </x:c>
      <x:c r="E1084" s="8"/>
      <x:c r="F1084" s="8"/>
      <x:c r="G1084" s="9"/>
      <x:c r="H1084" s="9"/>
      <x:c r="I1084" s="8"/>
      <x:c r="J1084" s="8"/>
      <x:c r="K1084" s="2" t="str">
        <x:f>IF(OR(E1084="",F1084="",G1084="",H1084="",I1084="",J1084=""),"",IF(E1084="Harness blocked","BLOCKED",IF(AND(E1084="Present",F1084="Supplied"),1,IF(OR(E1084="Missing",E1084="Not reached"),0,"CHECK"))))</x:f>
      </x:c>
      <x:c r="L1084" s="2" t="str">
        <x:f>IF(ISNUMBER(K1084),IF(AND(K1084=1,I1084="No"),1,0),K1084)</x:f>
      </x:c>
      <x:c r="M1084" s="2" t="n">
        <x:f>IF(ISNUMBER(K1084),1,0)</x:f>
        <x:v>0</x:v>
      </x:c>
    </x:row>
    <x:row r="1085" ht="24" customHeight="1">
      <x:c r="A1085" s="2" t="str">
        <x:v>S03.08</x:v>
      </x:c>
      <x:c r="B1085" s="2" t="str">
        <x:v>S03</x:v>
      </x:c>
      <x:c r="C1085" s="2" t="str">
        <x:v>qwen_connected</x:v>
      </x:c>
      <x:c r="D1085" s="2" t="n">
        <x:v>3</x:v>
      </x:c>
      <x:c r="E1085" s="8"/>
      <x:c r="F1085" s="8"/>
      <x:c r="G1085" s="9"/>
      <x:c r="H1085" s="9"/>
      <x:c r="I1085" s="8"/>
      <x:c r="J1085" s="8"/>
      <x:c r="K1085" s="2" t="str">
        <x:f>IF(OR(E1085="",F1085="",G1085="",H1085="",I1085="",J1085=""),"",IF(E1085="Harness blocked","BLOCKED",IF(AND(E1085="Present",F1085="Supplied"),1,IF(OR(E1085="Missing",E1085="Not reached"),0,"CHECK"))))</x:f>
      </x:c>
      <x:c r="L1085" s="2" t="str">
        <x:f>IF(ISNUMBER(K1085),IF(AND(K1085=1,I1085="No"),1,0),K1085)</x:f>
      </x:c>
      <x:c r="M1085" s="2" t="n">
        <x:f>IF(ISNUMBER(K1085),1,0)</x:f>
        <x:v>0</x:v>
      </x:c>
    </x:row>
    <x:row r="1086" ht="24" customHeight="1">
      <x:c r="A1086" s="2" t="str">
        <x:v>S04.01</x:v>
      </x:c>
      <x:c r="B1086" s="2" t="str">
        <x:v>S04</x:v>
      </x:c>
      <x:c r="C1086" s="2" t="str">
        <x:v>qwen_connected</x:v>
      </x:c>
      <x:c r="D1086" s="2" t="n">
        <x:v>3</x:v>
      </x:c>
      <x:c r="E1086" s="8"/>
      <x:c r="F1086" s="8"/>
      <x:c r="G1086" s="9"/>
      <x:c r="H1086" s="9"/>
      <x:c r="I1086" s="8"/>
      <x:c r="J1086" s="8"/>
      <x:c r="K1086" s="2" t="str">
        <x:f>IF(OR(E1086="",F1086="",G1086="",H1086="",I1086="",J1086=""),"",IF(E1086="Harness blocked","BLOCKED",IF(AND(E1086="Present",F1086="Supplied"),1,IF(OR(E1086="Missing",E1086="Not reached"),0,"CHECK"))))</x:f>
      </x:c>
      <x:c r="L1086" s="2" t="str">
        <x:f>IF(ISNUMBER(K1086),IF(AND(K1086=1,I1086="No"),1,0),K1086)</x:f>
      </x:c>
      <x:c r="M1086" s="2" t="n">
        <x:f>IF(ISNUMBER(K1086),1,0)</x:f>
        <x:v>0</x:v>
      </x:c>
    </x:row>
    <x:row r="1087" ht="24" customHeight="1">
      <x:c r="A1087" s="2" t="str">
        <x:v>S04.02</x:v>
      </x:c>
      <x:c r="B1087" s="2" t="str">
        <x:v>S04</x:v>
      </x:c>
      <x:c r="C1087" s="2" t="str">
        <x:v>qwen_connected</x:v>
      </x:c>
      <x:c r="D1087" s="2" t="n">
        <x:v>3</x:v>
      </x:c>
      <x:c r="E1087" s="8"/>
      <x:c r="F1087" s="8"/>
      <x:c r="G1087" s="9"/>
      <x:c r="H1087" s="9"/>
      <x:c r="I1087" s="8"/>
      <x:c r="J1087" s="8"/>
      <x:c r="K1087" s="2" t="str">
        <x:f>IF(OR(E1087="",F1087="",G1087="",H1087="",I1087="",J1087=""),"",IF(E1087="Harness blocked","BLOCKED",IF(AND(E1087="Present",F1087="Supplied"),1,IF(OR(E1087="Missing",E1087="Not reached"),0,"CHECK"))))</x:f>
      </x:c>
      <x:c r="L1087" s="2" t="str">
        <x:f>IF(ISNUMBER(K1087),IF(AND(K1087=1,I1087="No"),1,0),K1087)</x:f>
      </x:c>
      <x:c r="M1087" s="2" t="n">
        <x:f>IF(ISNUMBER(K1087),1,0)</x:f>
        <x:v>0</x:v>
      </x:c>
    </x:row>
    <x:row r="1088" ht="24" customHeight="1">
      <x:c r="A1088" s="2" t="str">
        <x:v>S04.03</x:v>
      </x:c>
      <x:c r="B1088" s="2" t="str">
        <x:v>S04</x:v>
      </x:c>
      <x:c r="C1088" s="2" t="str">
        <x:v>qwen_connected</x:v>
      </x:c>
      <x:c r="D1088" s="2" t="n">
        <x:v>3</x:v>
      </x:c>
      <x:c r="E1088" s="8"/>
      <x:c r="F1088" s="8"/>
      <x:c r="G1088" s="9"/>
      <x:c r="H1088" s="9"/>
      <x:c r="I1088" s="8"/>
      <x:c r="J1088" s="8"/>
      <x:c r="K1088" s="2" t="str">
        <x:f>IF(OR(E1088="",F1088="",G1088="",H1088="",I1088="",J1088=""),"",IF(E1088="Harness blocked","BLOCKED",IF(AND(E1088="Present",F1088="Supplied"),1,IF(OR(E1088="Missing",E1088="Not reached"),0,"CHECK"))))</x:f>
      </x:c>
      <x:c r="L1088" s="2" t="str">
        <x:f>IF(ISNUMBER(K1088),IF(AND(K1088=1,I1088="No"),1,0),K1088)</x:f>
      </x:c>
      <x:c r="M1088" s="2" t="n">
        <x:f>IF(ISNUMBER(K1088),1,0)</x:f>
        <x:v>0</x:v>
      </x:c>
    </x:row>
    <x:row r="1089" ht="24" customHeight="1">
      <x:c r="A1089" s="2" t="str">
        <x:v>S04.04</x:v>
      </x:c>
      <x:c r="B1089" s="2" t="str">
        <x:v>S04</x:v>
      </x:c>
      <x:c r="C1089" s="2" t="str">
        <x:v>qwen_connected</x:v>
      </x:c>
      <x:c r="D1089" s="2" t="n">
        <x:v>3</x:v>
      </x:c>
      <x:c r="E1089" s="8"/>
      <x:c r="F1089" s="8"/>
      <x:c r="G1089" s="9"/>
      <x:c r="H1089" s="9"/>
      <x:c r="I1089" s="8"/>
      <x:c r="J1089" s="8"/>
      <x:c r="K1089" s="2" t="str">
        <x:f>IF(OR(E1089="",F1089="",G1089="",H1089="",I1089="",J1089=""),"",IF(E1089="Harness blocked","BLOCKED",IF(AND(E1089="Present",F1089="Supplied"),1,IF(OR(E1089="Missing",E1089="Not reached"),0,"CHECK"))))</x:f>
      </x:c>
      <x:c r="L1089" s="2" t="str">
        <x:f>IF(ISNUMBER(K1089),IF(AND(K1089=1,I1089="No"),1,0),K1089)</x:f>
      </x:c>
      <x:c r="M1089" s="2" t="n">
        <x:f>IF(ISNUMBER(K1089),1,0)</x:f>
        <x:v>0</x:v>
      </x:c>
    </x:row>
    <x:row r="1090" ht="24" customHeight="1">
      <x:c r="A1090" s="2" t="str">
        <x:v>S04.05</x:v>
      </x:c>
      <x:c r="B1090" s="2" t="str">
        <x:v>S04</x:v>
      </x:c>
      <x:c r="C1090" s="2" t="str">
        <x:v>qwen_connected</x:v>
      </x:c>
      <x:c r="D1090" s="2" t="n">
        <x:v>3</x:v>
      </x:c>
      <x:c r="E1090" s="8"/>
      <x:c r="F1090" s="8"/>
      <x:c r="G1090" s="9"/>
      <x:c r="H1090" s="9"/>
      <x:c r="I1090" s="8"/>
      <x:c r="J1090" s="8"/>
      <x:c r="K1090" s="2" t="str">
        <x:f>IF(OR(E1090="",F1090="",G1090="",H1090="",I1090="",J1090=""),"",IF(E1090="Harness blocked","BLOCKED",IF(AND(E1090="Present",F1090="Supplied"),1,IF(OR(E1090="Missing",E1090="Not reached"),0,"CHECK"))))</x:f>
      </x:c>
      <x:c r="L1090" s="2" t="str">
        <x:f>IF(ISNUMBER(K1090),IF(AND(K1090=1,I1090="No"),1,0),K1090)</x:f>
      </x:c>
      <x:c r="M1090" s="2" t="n">
        <x:f>IF(ISNUMBER(K1090),1,0)</x:f>
        <x:v>0</x:v>
      </x:c>
    </x:row>
    <x:row r="1091" ht="24" customHeight="1">
      <x:c r="A1091" s="2" t="str">
        <x:v>S04.06</x:v>
      </x:c>
      <x:c r="B1091" s="2" t="str">
        <x:v>S04</x:v>
      </x:c>
      <x:c r="C1091" s="2" t="str">
        <x:v>qwen_connected</x:v>
      </x:c>
      <x:c r="D1091" s="2" t="n">
        <x:v>3</x:v>
      </x:c>
      <x:c r="E1091" s="8"/>
      <x:c r="F1091" s="8"/>
      <x:c r="G1091" s="9"/>
      <x:c r="H1091" s="9"/>
      <x:c r="I1091" s="8"/>
      <x:c r="J1091" s="8"/>
      <x:c r="K1091" s="2" t="str">
        <x:f>IF(OR(E1091="",F1091="",G1091="",H1091="",I1091="",J1091=""),"",IF(E1091="Harness blocked","BLOCKED",IF(AND(E1091="Present",F1091="Supplied"),1,IF(OR(E1091="Missing",E1091="Not reached"),0,"CHECK"))))</x:f>
      </x:c>
      <x:c r="L1091" s="2" t="str">
        <x:f>IF(ISNUMBER(K1091),IF(AND(K1091=1,I1091="No"),1,0),K1091)</x:f>
      </x:c>
      <x:c r="M1091" s="2" t="n">
        <x:f>IF(ISNUMBER(K1091),1,0)</x:f>
        <x:v>0</x:v>
      </x:c>
    </x:row>
    <x:row r="1092" ht="24" customHeight="1">
      <x:c r="A1092" s="2" t="str">
        <x:v>S04.07</x:v>
      </x:c>
      <x:c r="B1092" s="2" t="str">
        <x:v>S04</x:v>
      </x:c>
      <x:c r="C1092" s="2" t="str">
        <x:v>qwen_connected</x:v>
      </x:c>
      <x:c r="D1092" s="2" t="n">
        <x:v>3</x:v>
      </x:c>
      <x:c r="E1092" s="8"/>
      <x:c r="F1092" s="8"/>
      <x:c r="G1092" s="9"/>
      <x:c r="H1092" s="9"/>
      <x:c r="I1092" s="8"/>
      <x:c r="J1092" s="8"/>
      <x:c r="K1092" s="2" t="str">
        <x:f>IF(OR(E1092="",F1092="",G1092="",H1092="",I1092="",J1092=""),"",IF(E1092="Harness blocked","BLOCKED",IF(AND(E1092="Present",F1092="Supplied"),1,IF(OR(E1092="Missing",E1092="Not reached"),0,"CHECK"))))</x:f>
      </x:c>
      <x:c r="L1092" s="2" t="str">
        <x:f>IF(ISNUMBER(K1092),IF(AND(K1092=1,I1092="No"),1,0),K1092)</x:f>
      </x:c>
      <x:c r="M1092" s="2" t="n">
        <x:f>IF(ISNUMBER(K1092),1,0)</x:f>
        <x:v>0</x:v>
      </x:c>
    </x:row>
    <x:row r="1093" ht="24" customHeight="1">
      <x:c r="A1093" s="2" t="str">
        <x:v>S04.08</x:v>
      </x:c>
      <x:c r="B1093" s="2" t="str">
        <x:v>S04</x:v>
      </x:c>
      <x:c r="C1093" s="2" t="str">
        <x:v>qwen_connected</x:v>
      </x:c>
      <x:c r="D1093" s="2" t="n">
        <x:v>3</x:v>
      </x:c>
      <x:c r="E1093" s="8"/>
      <x:c r="F1093" s="8"/>
      <x:c r="G1093" s="9"/>
      <x:c r="H1093" s="9"/>
      <x:c r="I1093" s="8"/>
      <x:c r="J1093" s="8"/>
      <x:c r="K1093" s="2" t="str">
        <x:f>IF(OR(E1093="",F1093="",G1093="",H1093="",I1093="",J1093=""),"",IF(E1093="Harness blocked","BLOCKED",IF(AND(E1093="Present",F1093="Supplied"),1,IF(OR(E1093="Missing",E1093="Not reached"),0,"CHECK"))))</x:f>
      </x:c>
      <x:c r="L1093" s="2" t="str">
        <x:f>IF(ISNUMBER(K1093),IF(AND(K1093=1,I1093="No"),1,0),K1093)</x:f>
      </x:c>
      <x:c r="M1093" s="2" t="n">
        <x:f>IF(ISNUMBER(K1093),1,0)</x:f>
        <x:v>0</x:v>
      </x:c>
    </x:row>
    <x:row r="1094" ht="24" customHeight="1">
      <x:c r="A1094" s="2" t="str">
        <x:v>S05.01</x:v>
      </x:c>
      <x:c r="B1094" s="2" t="str">
        <x:v>S05</x:v>
      </x:c>
      <x:c r="C1094" s="2" t="str">
        <x:v>qwen_connected</x:v>
      </x:c>
      <x:c r="D1094" s="2" t="n">
        <x:v>3</x:v>
      </x:c>
      <x:c r="E1094" s="8"/>
      <x:c r="F1094" s="8"/>
      <x:c r="G1094" s="9"/>
      <x:c r="H1094" s="9"/>
      <x:c r="I1094" s="8"/>
      <x:c r="J1094" s="8"/>
      <x:c r="K1094" s="2" t="str">
        <x:f>IF(OR(E1094="",F1094="",G1094="",H1094="",I1094="",J1094=""),"",IF(E1094="Harness blocked","BLOCKED",IF(AND(E1094="Present",F1094="Supplied"),1,IF(OR(E1094="Missing",E1094="Not reached"),0,"CHECK"))))</x:f>
      </x:c>
      <x:c r="L1094" s="2" t="str">
        <x:f>IF(ISNUMBER(K1094),IF(AND(K1094=1,I1094="No"),1,0),K1094)</x:f>
      </x:c>
      <x:c r="M1094" s="2" t="n">
        <x:f>IF(ISNUMBER(K1094),1,0)</x:f>
        <x:v>0</x:v>
      </x:c>
    </x:row>
    <x:row r="1095" ht="24" customHeight="1">
      <x:c r="A1095" s="2" t="str">
        <x:v>S05.02</x:v>
      </x:c>
      <x:c r="B1095" s="2" t="str">
        <x:v>S05</x:v>
      </x:c>
      <x:c r="C1095" s="2" t="str">
        <x:v>qwen_connected</x:v>
      </x:c>
      <x:c r="D1095" s="2" t="n">
        <x:v>3</x:v>
      </x:c>
      <x:c r="E1095" s="8"/>
      <x:c r="F1095" s="8"/>
      <x:c r="G1095" s="9"/>
      <x:c r="H1095" s="9"/>
      <x:c r="I1095" s="8"/>
      <x:c r="J1095" s="8"/>
      <x:c r="K1095" s="2" t="str">
        <x:f>IF(OR(E1095="",F1095="",G1095="",H1095="",I1095="",J1095=""),"",IF(E1095="Harness blocked","BLOCKED",IF(AND(E1095="Present",F1095="Supplied"),1,IF(OR(E1095="Missing",E1095="Not reached"),0,"CHECK"))))</x:f>
      </x:c>
      <x:c r="L1095" s="2" t="str">
        <x:f>IF(ISNUMBER(K1095),IF(AND(K1095=1,I1095="No"),1,0),K1095)</x:f>
      </x:c>
      <x:c r="M1095" s="2" t="n">
        <x:f>IF(ISNUMBER(K1095),1,0)</x:f>
        <x:v>0</x:v>
      </x:c>
    </x:row>
    <x:row r="1096" ht="24" customHeight="1">
      <x:c r="A1096" s="2" t="str">
        <x:v>S05.03</x:v>
      </x:c>
      <x:c r="B1096" s="2" t="str">
        <x:v>S05</x:v>
      </x:c>
      <x:c r="C1096" s="2" t="str">
        <x:v>qwen_connected</x:v>
      </x:c>
      <x:c r="D1096" s="2" t="n">
        <x:v>3</x:v>
      </x:c>
      <x:c r="E1096" s="8"/>
      <x:c r="F1096" s="8"/>
      <x:c r="G1096" s="9"/>
      <x:c r="H1096" s="9"/>
      <x:c r="I1096" s="8"/>
      <x:c r="J1096" s="8"/>
      <x:c r="K1096" s="2" t="str">
        <x:f>IF(OR(E1096="",F1096="",G1096="",H1096="",I1096="",J1096=""),"",IF(E1096="Harness blocked","BLOCKED",IF(AND(E1096="Present",F1096="Supplied"),1,IF(OR(E1096="Missing",E1096="Not reached"),0,"CHECK"))))</x:f>
      </x:c>
      <x:c r="L1096" s="2" t="str">
        <x:f>IF(ISNUMBER(K1096),IF(AND(K1096=1,I1096="No"),1,0),K1096)</x:f>
      </x:c>
      <x:c r="M1096" s="2" t="n">
        <x:f>IF(ISNUMBER(K1096),1,0)</x:f>
        <x:v>0</x:v>
      </x:c>
    </x:row>
    <x:row r="1097" ht="24" customHeight="1">
      <x:c r="A1097" s="2" t="str">
        <x:v>S05.04</x:v>
      </x:c>
      <x:c r="B1097" s="2" t="str">
        <x:v>S05</x:v>
      </x:c>
      <x:c r="C1097" s="2" t="str">
        <x:v>qwen_connected</x:v>
      </x:c>
      <x:c r="D1097" s="2" t="n">
        <x:v>3</x:v>
      </x:c>
      <x:c r="E1097" s="8"/>
      <x:c r="F1097" s="8"/>
      <x:c r="G1097" s="9"/>
      <x:c r="H1097" s="9"/>
      <x:c r="I1097" s="8"/>
      <x:c r="J1097" s="8"/>
      <x:c r="K1097" s="2" t="str">
        <x:f>IF(OR(E1097="",F1097="",G1097="",H1097="",I1097="",J1097=""),"",IF(E1097="Harness blocked","BLOCKED",IF(AND(E1097="Present",F1097="Supplied"),1,IF(OR(E1097="Missing",E1097="Not reached"),0,"CHECK"))))</x:f>
      </x:c>
      <x:c r="L1097" s="2" t="str">
        <x:f>IF(ISNUMBER(K1097),IF(AND(K1097=1,I1097="No"),1,0),K1097)</x:f>
      </x:c>
      <x:c r="M1097" s="2" t="n">
        <x:f>IF(ISNUMBER(K1097),1,0)</x:f>
        <x:v>0</x:v>
      </x:c>
    </x:row>
    <x:row r="1098" ht="24" customHeight="1">
      <x:c r="A1098" s="2" t="str">
        <x:v>S05.05</x:v>
      </x:c>
      <x:c r="B1098" s="2" t="str">
        <x:v>S05</x:v>
      </x:c>
      <x:c r="C1098" s="2" t="str">
        <x:v>qwen_connected</x:v>
      </x:c>
      <x:c r="D1098" s="2" t="n">
        <x:v>3</x:v>
      </x:c>
      <x:c r="E1098" s="8"/>
      <x:c r="F1098" s="8"/>
      <x:c r="G1098" s="9"/>
      <x:c r="H1098" s="9"/>
      <x:c r="I1098" s="8"/>
      <x:c r="J1098" s="8"/>
      <x:c r="K1098" s="2" t="str">
        <x:f>IF(OR(E1098="",F1098="",G1098="",H1098="",I1098="",J1098=""),"",IF(E1098="Harness blocked","BLOCKED",IF(AND(E1098="Present",F1098="Supplied"),1,IF(OR(E1098="Missing",E1098="Not reached"),0,"CHECK"))))</x:f>
      </x:c>
      <x:c r="L1098" s="2" t="str">
        <x:f>IF(ISNUMBER(K1098),IF(AND(K1098=1,I1098="No"),1,0),K1098)</x:f>
      </x:c>
      <x:c r="M1098" s="2" t="n">
        <x:f>IF(ISNUMBER(K1098),1,0)</x:f>
        <x:v>0</x:v>
      </x:c>
    </x:row>
    <x:row r="1099" ht="24" customHeight="1">
      <x:c r="A1099" s="2" t="str">
        <x:v>S05.06</x:v>
      </x:c>
      <x:c r="B1099" s="2" t="str">
        <x:v>S05</x:v>
      </x:c>
      <x:c r="C1099" s="2" t="str">
        <x:v>qwen_connected</x:v>
      </x:c>
      <x:c r="D1099" s="2" t="n">
        <x:v>3</x:v>
      </x:c>
      <x:c r="E1099" s="8"/>
      <x:c r="F1099" s="8"/>
      <x:c r="G1099" s="9"/>
      <x:c r="H1099" s="9"/>
      <x:c r="I1099" s="8"/>
      <x:c r="J1099" s="8"/>
      <x:c r="K1099" s="2" t="str">
        <x:f>IF(OR(E1099="",F1099="",G1099="",H1099="",I1099="",J1099=""),"",IF(E1099="Harness blocked","BLOCKED",IF(AND(E1099="Present",F1099="Supplied"),1,IF(OR(E1099="Missing",E1099="Not reached"),0,"CHECK"))))</x:f>
      </x:c>
      <x:c r="L1099" s="2" t="str">
        <x:f>IF(ISNUMBER(K1099),IF(AND(K1099=1,I1099="No"),1,0),K1099)</x:f>
      </x:c>
      <x:c r="M1099" s="2" t="n">
        <x:f>IF(ISNUMBER(K1099),1,0)</x:f>
        <x:v>0</x:v>
      </x:c>
    </x:row>
    <x:row r="1100" ht="24" customHeight="1">
      <x:c r="A1100" s="2" t="str">
        <x:v>S05.07</x:v>
      </x:c>
      <x:c r="B1100" s="2" t="str">
        <x:v>S05</x:v>
      </x:c>
      <x:c r="C1100" s="2" t="str">
        <x:v>qwen_connected</x:v>
      </x:c>
      <x:c r="D1100" s="2" t="n">
        <x:v>3</x:v>
      </x:c>
      <x:c r="E1100" s="8"/>
      <x:c r="F1100" s="8"/>
      <x:c r="G1100" s="9"/>
      <x:c r="H1100" s="9"/>
      <x:c r="I1100" s="8"/>
      <x:c r="J1100" s="8"/>
      <x:c r="K1100" s="2" t="str">
        <x:f>IF(OR(E1100="",F1100="",G1100="",H1100="",I1100="",J1100=""),"",IF(E1100="Harness blocked","BLOCKED",IF(AND(E1100="Present",F1100="Supplied"),1,IF(OR(E1100="Missing",E1100="Not reached"),0,"CHECK"))))</x:f>
      </x:c>
      <x:c r="L1100" s="2" t="str">
        <x:f>IF(ISNUMBER(K1100),IF(AND(K1100=1,I1100="No"),1,0),K1100)</x:f>
      </x:c>
      <x:c r="M1100" s="2" t="n">
        <x:f>IF(ISNUMBER(K1100),1,0)</x:f>
        <x:v>0</x:v>
      </x:c>
    </x:row>
    <x:row r="1101" ht="24" customHeight="1">
      <x:c r="A1101" s="2" t="str">
        <x:v>S05.08</x:v>
      </x:c>
      <x:c r="B1101" s="2" t="str">
        <x:v>S05</x:v>
      </x:c>
      <x:c r="C1101" s="2" t="str">
        <x:v>qwen_connected</x:v>
      </x:c>
      <x:c r="D1101" s="2" t="n">
        <x:v>3</x:v>
      </x:c>
      <x:c r="E1101" s="8"/>
      <x:c r="F1101" s="8"/>
      <x:c r="G1101" s="9"/>
      <x:c r="H1101" s="9"/>
      <x:c r="I1101" s="8"/>
      <x:c r="J1101" s="8"/>
      <x:c r="K1101" s="2" t="str">
        <x:f>IF(OR(E1101="",F1101="",G1101="",H1101="",I1101="",J1101=""),"",IF(E1101="Harness blocked","BLOCKED",IF(AND(E1101="Present",F1101="Supplied"),1,IF(OR(E1101="Missing",E1101="Not reached"),0,"CHECK"))))</x:f>
      </x:c>
      <x:c r="L1101" s="2" t="str">
        <x:f>IF(ISNUMBER(K1101),IF(AND(K1101=1,I1101="No"),1,0),K1101)</x:f>
      </x:c>
      <x:c r="M1101" s="2" t="n">
        <x:f>IF(ISNUMBER(K1101),1,0)</x:f>
        <x:v>0</x:v>
      </x:c>
    </x:row>
    <x:row r="1102" ht="24" customHeight="1">
      <x:c r="A1102" s="2" t="str">
        <x:v>S06.01</x:v>
      </x:c>
      <x:c r="B1102" s="2" t="str">
        <x:v>S06</x:v>
      </x:c>
      <x:c r="C1102" s="2" t="str">
        <x:v>qwen_connected</x:v>
      </x:c>
      <x:c r="D1102" s="2" t="n">
        <x:v>3</x:v>
      </x:c>
      <x:c r="E1102" s="8"/>
      <x:c r="F1102" s="8"/>
      <x:c r="G1102" s="9"/>
      <x:c r="H1102" s="9"/>
      <x:c r="I1102" s="8"/>
      <x:c r="J1102" s="8"/>
      <x:c r="K1102" s="2" t="str">
        <x:f>IF(OR(E1102="",F1102="",G1102="",H1102="",I1102="",J1102=""),"",IF(E1102="Harness blocked","BLOCKED",IF(AND(E1102="Present",F1102="Supplied"),1,IF(OR(E1102="Missing",E1102="Not reached"),0,"CHECK"))))</x:f>
      </x:c>
      <x:c r="L1102" s="2" t="str">
        <x:f>IF(ISNUMBER(K1102),IF(AND(K1102=1,I1102="No"),1,0),K1102)</x:f>
      </x:c>
      <x:c r="M1102" s="2" t="n">
        <x:f>IF(ISNUMBER(K1102),1,0)</x:f>
        <x:v>0</x:v>
      </x:c>
    </x:row>
    <x:row r="1103" ht="24" customHeight="1">
      <x:c r="A1103" s="2" t="str">
        <x:v>S06.02</x:v>
      </x:c>
      <x:c r="B1103" s="2" t="str">
        <x:v>S06</x:v>
      </x:c>
      <x:c r="C1103" s="2" t="str">
        <x:v>qwen_connected</x:v>
      </x:c>
      <x:c r="D1103" s="2" t="n">
        <x:v>3</x:v>
      </x:c>
      <x:c r="E1103" s="8"/>
      <x:c r="F1103" s="8"/>
      <x:c r="G1103" s="9"/>
      <x:c r="H1103" s="9"/>
      <x:c r="I1103" s="8"/>
      <x:c r="J1103" s="8"/>
      <x:c r="K1103" s="2" t="str">
        <x:f>IF(OR(E1103="",F1103="",G1103="",H1103="",I1103="",J1103=""),"",IF(E1103="Harness blocked","BLOCKED",IF(AND(E1103="Present",F1103="Supplied"),1,IF(OR(E1103="Missing",E1103="Not reached"),0,"CHECK"))))</x:f>
      </x:c>
      <x:c r="L1103" s="2" t="str">
        <x:f>IF(ISNUMBER(K1103),IF(AND(K1103=1,I1103="No"),1,0),K1103)</x:f>
      </x:c>
      <x:c r="M1103" s="2" t="n">
        <x:f>IF(ISNUMBER(K1103),1,0)</x:f>
        <x:v>0</x:v>
      </x:c>
    </x:row>
    <x:row r="1104" ht="24" customHeight="1">
      <x:c r="A1104" s="2" t="str">
        <x:v>S06.03</x:v>
      </x:c>
      <x:c r="B1104" s="2" t="str">
        <x:v>S06</x:v>
      </x:c>
      <x:c r="C1104" s="2" t="str">
        <x:v>qwen_connected</x:v>
      </x:c>
      <x:c r="D1104" s="2" t="n">
        <x:v>3</x:v>
      </x:c>
      <x:c r="E1104" s="8"/>
      <x:c r="F1104" s="8"/>
      <x:c r="G1104" s="9"/>
      <x:c r="H1104" s="9"/>
      <x:c r="I1104" s="8"/>
      <x:c r="J1104" s="8"/>
      <x:c r="K1104" s="2" t="str">
        <x:f>IF(OR(E1104="",F1104="",G1104="",H1104="",I1104="",J1104=""),"",IF(E1104="Harness blocked","BLOCKED",IF(AND(E1104="Present",F1104="Supplied"),1,IF(OR(E1104="Missing",E1104="Not reached"),0,"CHECK"))))</x:f>
      </x:c>
      <x:c r="L1104" s="2" t="str">
        <x:f>IF(ISNUMBER(K1104),IF(AND(K1104=1,I1104="No"),1,0),K1104)</x:f>
      </x:c>
      <x:c r="M1104" s="2" t="n">
        <x:f>IF(ISNUMBER(K1104),1,0)</x:f>
        <x:v>0</x:v>
      </x:c>
    </x:row>
    <x:row r="1105" ht="24" customHeight="1">
      <x:c r="A1105" s="2" t="str">
        <x:v>S06.04</x:v>
      </x:c>
      <x:c r="B1105" s="2" t="str">
        <x:v>S06</x:v>
      </x:c>
      <x:c r="C1105" s="2" t="str">
        <x:v>qwen_connected</x:v>
      </x:c>
      <x:c r="D1105" s="2" t="n">
        <x:v>3</x:v>
      </x:c>
      <x:c r="E1105" s="8"/>
      <x:c r="F1105" s="8"/>
      <x:c r="G1105" s="9"/>
      <x:c r="H1105" s="9"/>
      <x:c r="I1105" s="8"/>
      <x:c r="J1105" s="8"/>
      <x:c r="K1105" s="2" t="str">
        <x:f>IF(OR(E1105="",F1105="",G1105="",H1105="",I1105="",J1105=""),"",IF(E1105="Harness blocked","BLOCKED",IF(AND(E1105="Present",F1105="Supplied"),1,IF(OR(E1105="Missing",E1105="Not reached"),0,"CHECK"))))</x:f>
      </x:c>
      <x:c r="L1105" s="2" t="str">
        <x:f>IF(ISNUMBER(K1105),IF(AND(K1105=1,I1105="No"),1,0),K1105)</x:f>
      </x:c>
      <x:c r="M1105" s="2" t="n">
        <x:f>IF(ISNUMBER(K1105),1,0)</x:f>
        <x:v>0</x:v>
      </x:c>
    </x:row>
    <x:row r="1106" ht="24" customHeight="1">
      <x:c r="A1106" s="2" t="str">
        <x:v>S06.05</x:v>
      </x:c>
      <x:c r="B1106" s="2" t="str">
        <x:v>S06</x:v>
      </x:c>
      <x:c r="C1106" s="2" t="str">
        <x:v>qwen_connected</x:v>
      </x:c>
      <x:c r="D1106" s="2" t="n">
        <x:v>3</x:v>
      </x:c>
      <x:c r="E1106" s="8"/>
      <x:c r="F1106" s="8"/>
      <x:c r="G1106" s="9"/>
      <x:c r="H1106" s="9"/>
      <x:c r="I1106" s="8"/>
      <x:c r="J1106" s="8"/>
      <x:c r="K1106" s="2" t="str">
        <x:f>IF(OR(E1106="",F1106="",G1106="",H1106="",I1106="",J1106=""),"",IF(E1106="Harness blocked","BLOCKED",IF(AND(E1106="Present",F1106="Supplied"),1,IF(OR(E1106="Missing",E1106="Not reached"),0,"CHECK"))))</x:f>
      </x:c>
      <x:c r="L1106" s="2" t="str">
        <x:f>IF(ISNUMBER(K1106),IF(AND(K1106=1,I1106="No"),1,0),K1106)</x:f>
      </x:c>
      <x:c r="M1106" s="2" t="n">
        <x:f>IF(ISNUMBER(K1106),1,0)</x:f>
        <x:v>0</x:v>
      </x:c>
    </x:row>
    <x:row r="1107" ht="24" customHeight="1">
      <x:c r="A1107" s="2" t="str">
        <x:v>S06.06</x:v>
      </x:c>
      <x:c r="B1107" s="2" t="str">
        <x:v>S06</x:v>
      </x:c>
      <x:c r="C1107" s="2" t="str">
        <x:v>qwen_connected</x:v>
      </x:c>
      <x:c r="D1107" s="2" t="n">
        <x:v>3</x:v>
      </x:c>
      <x:c r="E1107" s="8"/>
      <x:c r="F1107" s="8"/>
      <x:c r="G1107" s="9"/>
      <x:c r="H1107" s="9"/>
      <x:c r="I1107" s="8"/>
      <x:c r="J1107" s="8"/>
      <x:c r="K1107" s="2" t="str">
        <x:f>IF(OR(E1107="",F1107="",G1107="",H1107="",I1107="",J1107=""),"",IF(E1107="Harness blocked","BLOCKED",IF(AND(E1107="Present",F1107="Supplied"),1,IF(OR(E1107="Missing",E1107="Not reached"),0,"CHECK"))))</x:f>
      </x:c>
      <x:c r="L1107" s="2" t="str">
        <x:f>IF(ISNUMBER(K1107),IF(AND(K1107=1,I1107="No"),1,0),K1107)</x:f>
      </x:c>
      <x:c r="M1107" s="2" t="n">
        <x:f>IF(ISNUMBER(K1107),1,0)</x:f>
        <x:v>0</x:v>
      </x:c>
    </x:row>
    <x:row r="1108" ht="24" customHeight="1">
      <x:c r="A1108" s="2" t="str">
        <x:v>S06.07</x:v>
      </x:c>
      <x:c r="B1108" s="2" t="str">
        <x:v>S06</x:v>
      </x:c>
      <x:c r="C1108" s="2" t="str">
        <x:v>qwen_connected</x:v>
      </x:c>
      <x:c r="D1108" s="2" t="n">
        <x:v>3</x:v>
      </x:c>
      <x:c r="E1108" s="8"/>
      <x:c r="F1108" s="8"/>
      <x:c r="G1108" s="9"/>
      <x:c r="H1108" s="9"/>
      <x:c r="I1108" s="8"/>
      <x:c r="J1108" s="8"/>
      <x:c r="K1108" s="2" t="str">
        <x:f>IF(OR(E1108="",F1108="",G1108="",H1108="",I1108="",J1108=""),"",IF(E1108="Harness blocked","BLOCKED",IF(AND(E1108="Present",F1108="Supplied"),1,IF(OR(E1108="Missing",E1108="Not reached"),0,"CHECK"))))</x:f>
      </x:c>
      <x:c r="L1108" s="2" t="str">
        <x:f>IF(ISNUMBER(K1108),IF(AND(K1108=1,I1108="No"),1,0),K1108)</x:f>
      </x:c>
      <x:c r="M1108" s="2" t="n">
        <x:f>IF(ISNUMBER(K1108),1,0)</x:f>
        <x:v>0</x:v>
      </x:c>
    </x:row>
    <x:row r="1109" ht="24" customHeight="1">
      <x:c r="A1109" s="2" t="str">
        <x:v>S06.08</x:v>
      </x:c>
      <x:c r="B1109" s="2" t="str">
        <x:v>S06</x:v>
      </x:c>
      <x:c r="C1109" s="2" t="str">
        <x:v>qwen_connected</x:v>
      </x:c>
      <x:c r="D1109" s="2" t="n">
        <x:v>3</x:v>
      </x:c>
      <x:c r="E1109" s="8"/>
      <x:c r="F1109" s="8"/>
      <x:c r="G1109" s="9"/>
      <x:c r="H1109" s="9"/>
      <x:c r="I1109" s="8"/>
      <x:c r="J1109" s="8"/>
      <x:c r="K1109" s="2" t="str">
        <x:f>IF(OR(E1109="",F1109="",G1109="",H1109="",I1109="",J1109=""),"",IF(E1109="Harness blocked","BLOCKED",IF(AND(E1109="Present",F1109="Supplied"),1,IF(OR(E1109="Missing",E1109="Not reached"),0,"CHECK"))))</x:f>
      </x:c>
      <x:c r="L1109" s="2" t="str">
        <x:f>IF(ISNUMBER(K1109),IF(AND(K1109=1,I1109="No"),1,0),K1109)</x:f>
      </x:c>
      <x:c r="M1109" s="2" t="n">
        <x:f>IF(ISNUMBER(K1109),1,0)</x:f>
        <x:v>0</x:v>
      </x:c>
    </x:row>
    <x:row r="1110" ht="24" customHeight="1">
      <x:c r="A1110" s="2" t="str">
        <x:v>S07.01</x:v>
      </x:c>
      <x:c r="B1110" s="2" t="str">
        <x:v>S07</x:v>
      </x:c>
      <x:c r="C1110" s="2" t="str">
        <x:v>qwen_connected</x:v>
      </x:c>
      <x:c r="D1110" s="2" t="n">
        <x:v>3</x:v>
      </x:c>
      <x:c r="E1110" s="8"/>
      <x:c r="F1110" s="8"/>
      <x:c r="G1110" s="9"/>
      <x:c r="H1110" s="9"/>
      <x:c r="I1110" s="8"/>
      <x:c r="J1110" s="8"/>
      <x:c r="K1110" s="2" t="str">
        <x:f>IF(OR(E1110="",F1110="",G1110="",H1110="",I1110="",J1110=""),"",IF(E1110="Harness blocked","BLOCKED",IF(AND(E1110="Present",F1110="Supplied"),1,IF(OR(E1110="Missing",E1110="Not reached"),0,"CHECK"))))</x:f>
      </x:c>
      <x:c r="L1110" s="2" t="str">
        <x:f>IF(ISNUMBER(K1110),IF(AND(K1110=1,I1110="No"),1,0),K1110)</x:f>
      </x:c>
      <x:c r="M1110" s="2" t="n">
        <x:f>IF(ISNUMBER(K1110),1,0)</x:f>
        <x:v>0</x:v>
      </x:c>
    </x:row>
    <x:row r="1111" ht="24" customHeight="1">
      <x:c r="A1111" s="2" t="str">
        <x:v>S07.02</x:v>
      </x:c>
      <x:c r="B1111" s="2" t="str">
        <x:v>S07</x:v>
      </x:c>
      <x:c r="C1111" s="2" t="str">
        <x:v>qwen_connected</x:v>
      </x:c>
      <x:c r="D1111" s="2" t="n">
        <x:v>3</x:v>
      </x:c>
      <x:c r="E1111" s="8"/>
      <x:c r="F1111" s="8"/>
      <x:c r="G1111" s="9"/>
      <x:c r="H1111" s="9"/>
      <x:c r="I1111" s="8"/>
      <x:c r="J1111" s="8"/>
      <x:c r="K1111" s="2" t="str">
        <x:f>IF(OR(E1111="",F1111="",G1111="",H1111="",I1111="",J1111=""),"",IF(E1111="Harness blocked","BLOCKED",IF(AND(E1111="Present",F1111="Supplied"),1,IF(OR(E1111="Missing",E1111="Not reached"),0,"CHECK"))))</x:f>
      </x:c>
      <x:c r="L1111" s="2" t="str">
        <x:f>IF(ISNUMBER(K1111),IF(AND(K1111=1,I1111="No"),1,0),K1111)</x:f>
      </x:c>
      <x:c r="M1111" s="2" t="n">
        <x:f>IF(ISNUMBER(K1111),1,0)</x:f>
        <x:v>0</x:v>
      </x:c>
    </x:row>
    <x:row r="1112" ht="24" customHeight="1">
      <x:c r="A1112" s="2" t="str">
        <x:v>S07.03</x:v>
      </x:c>
      <x:c r="B1112" s="2" t="str">
        <x:v>S07</x:v>
      </x:c>
      <x:c r="C1112" s="2" t="str">
        <x:v>qwen_connected</x:v>
      </x:c>
      <x:c r="D1112" s="2" t="n">
        <x:v>3</x:v>
      </x:c>
      <x:c r="E1112" s="8"/>
      <x:c r="F1112" s="8"/>
      <x:c r="G1112" s="9"/>
      <x:c r="H1112" s="9"/>
      <x:c r="I1112" s="8"/>
      <x:c r="J1112" s="8"/>
      <x:c r="K1112" s="2" t="str">
        <x:f>IF(OR(E1112="",F1112="",G1112="",H1112="",I1112="",J1112=""),"",IF(E1112="Harness blocked","BLOCKED",IF(AND(E1112="Present",F1112="Supplied"),1,IF(OR(E1112="Missing",E1112="Not reached"),0,"CHECK"))))</x:f>
      </x:c>
      <x:c r="L1112" s="2" t="str">
        <x:f>IF(ISNUMBER(K1112),IF(AND(K1112=1,I1112="No"),1,0),K1112)</x:f>
      </x:c>
      <x:c r="M1112" s="2" t="n">
        <x:f>IF(ISNUMBER(K1112),1,0)</x:f>
        <x:v>0</x:v>
      </x:c>
    </x:row>
    <x:row r="1113" ht="24" customHeight="1">
      <x:c r="A1113" s="2" t="str">
        <x:v>S07.04</x:v>
      </x:c>
      <x:c r="B1113" s="2" t="str">
        <x:v>S07</x:v>
      </x:c>
      <x:c r="C1113" s="2" t="str">
        <x:v>qwen_connected</x:v>
      </x:c>
      <x:c r="D1113" s="2" t="n">
        <x:v>3</x:v>
      </x:c>
      <x:c r="E1113" s="8"/>
      <x:c r="F1113" s="8"/>
      <x:c r="G1113" s="9"/>
      <x:c r="H1113" s="9"/>
      <x:c r="I1113" s="8"/>
      <x:c r="J1113" s="8"/>
      <x:c r="K1113" s="2" t="str">
        <x:f>IF(OR(E1113="",F1113="",G1113="",H1113="",I1113="",J1113=""),"",IF(E1113="Harness blocked","BLOCKED",IF(AND(E1113="Present",F1113="Supplied"),1,IF(OR(E1113="Missing",E1113="Not reached"),0,"CHECK"))))</x:f>
      </x:c>
      <x:c r="L1113" s="2" t="str">
        <x:f>IF(ISNUMBER(K1113),IF(AND(K1113=1,I1113="No"),1,0),K1113)</x:f>
      </x:c>
      <x:c r="M1113" s="2" t="n">
        <x:f>IF(ISNUMBER(K1113),1,0)</x:f>
        <x:v>0</x:v>
      </x:c>
    </x:row>
    <x:row r="1114" ht="24" customHeight="1">
      <x:c r="A1114" s="2" t="str">
        <x:v>S07.05</x:v>
      </x:c>
      <x:c r="B1114" s="2" t="str">
        <x:v>S07</x:v>
      </x:c>
      <x:c r="C1114" s="2" t="str">
        <x:v>qwen_connected</x:v>
      </x:c>
      <x:c r="D1114" s="2" t="n">
        <x:v>3</x:v>
      </x:c>
      <x:c r="E1114" s="8"/>
      <x:c r="F1114" s="8"/>
      <x:c r="G1114" s="9"/>
      <x:c r="H1114" s="9"/>
      <x:c r="I1114" s="8"/>
      <x:c r="J1114" s="8"/>
      <x:c r="K1114" s="2" t="str">
        <x:f>IF(OR(E1114="",F1114="",G1114="",H1114="",I1114="",J1114=""),"",IF(E1114="Harness blocked","BLOCKED",IF(AND(E1114="Present",F1114="Supplied"),1,IF(OR(E1114="Missing",E1114="Not reached"),0,"CHECK"))))</x:f>
      </x:c>
      <x:c r="L1114" s="2" t="str">
        <x:f>IF(ISNUMBER(K1114),IF(AND(K1114=1,I1114="No"),1,0),K1114)</x:f>
      </x:c>
      <x:c r="M1114" s="2" t="n">
        <x:f>IF(ISNUMBER(K1114),1,0)</x:f>
        <x:v>0</x:v>
      </x:c>
    </x:row>
    <x:row r="1115" ht="24" customHeight="1">
      <x:c r="A1115" s="2" t="str">
        <x:v>S07.06</x:v>
      </x:c>
      <x:c r="B1115" s="2" t="str">
        <x:v>S07</x:v>
      </x:c>
      <x:c r="C1115" s="2" t="str">
        <x:v>qwen_connected</x:v>
      </x:c>
      <x:c r="D1115" s="2" t="n">
        <x:v>3</x:v>
      </x:c>
      <x:c r="E1115" s="8"/>
      <x:c r="F1115" s="8"/>
      <x:c r="G1115" s="9"/>
      <x:c r="H1115" s="9"/>
      <x:c r="I1115" s="8"/>
      <x:c r="J1115" s="8"/>
      <x:c r="K1115" s="2" t="str">
        <x:f>IF(OR(E1115="",F1115="",G1115="",H1115="",I1115="",J1115=""),"",IF(E1115="Harness blocked","BLOCKED",IF(AND(E1115="Present",F1115="Supplied"),1,IF(OR(E1115="Missing",E1115="Not reached"),0,"CHECK"))))</x:f>
      </x:c>
      <x:c r="L1115" s="2" t="str">
        <x:f>IF(ISNUMBER(K1115),IF(AND(K1115=1,I1115="No"),1,0),K1115)</x:f>
      </x:c>
      <x:c r="M1115" s="2" t="n">
        <x:f>IF(ISNUMBER(K1115),1,0)</x:f>
        <x:v>0</x:v>
      </x:c>
    </x:row>
    <x:row r="1116" ht="24" customHeight="1">
      <x:c r="A1116" s="2" t="str">
        <x:v>S07.07</x:v>
      </x:c>
      <x:c r="B1116" s="2" t="str">
        <x:v>S07</x:v>
      </x:c>
      <x:c r="C1116" s="2" t="str">
        <x:v>qwen_connected</x:v>
      </x:c>
      <x:c r="D1116" s="2" t="n">
        <x:v>3</x:v>
      </x:c>
      <x:c r="E1116" s="8"/>
      <x:c r="F1116" s="8"/>
      <x:c r="G1116" s="9"/>
      <x:c r="H1116" s="9"/>
      <x:c r="I1116" s="8"/>
      <x:c r="J1116" s="8"/>
      <x:c r="K1116" s="2" t="str">
        <x:f>IF(OR(E1116="",F1116="",G1116="",H1116="",I1116="",J1116=""),"",IF(E1116="Harness blocked","BLOCKED",IF(AND(E1116="Present",F1116="Supplied"),1,IF(OR(E1116="Missing",E1116="Not reached"),0,"CHECK"))))</x:f>
      </x:c>
      <x:c r="L1116" s="2" t="str">
        <x:f>IF(ISNUMBER(K1116),IF(AND(K1116=1,I1116="No"),1,0),K1116)</x:f>
      </x:c>
      <x:c r="M1116" s="2" t="n">
        <x:f>IF(ISNUMBER(K1116),1,0)</x:f>
        <x:v>0</x:v>
      </x:c>
    </x:row>
    <x:row r="1117" ht="24" customHeight="1">
      <x:c r="A1117" s="2" t="str">
        <x:v>S07.08</x:v>
      </x:c>
      <x:c r="B1117" s="2" t="str">
        <x:v>S07</x:v>
      </x:c>
      <x:c r="C1117" s="2" t="str">
        <x:v>qwen_connected</x:v>
      </x:c>
      <x:c r="D1117" s="2" t="n">
        <x:v>3</x:v>
      </x:c>
      <x:c r="E1117" s="8"/>
      <x:c r="F1117" s="8"/>
      <x:c r="G1117" s="9"/>
      <x:c r="H1117" s="9"/>
      <x:c r="I1117" s="8"/>
      <x:c r="J1117" s="8"/>
      <x:c r="K1117" s="2" t="str">
        <x:f>IF(OR(E1117="",F1117="",G1117="",H1117="",I1117="",J1117=""),"",IF(E1117="Harness blocked","BLOCKED",IF(AND(E1117="Present",F1117="Supplied"),1,IF(OR(E1117="Missing",E1117="Not reached"),0,"CHECK"))))</x:f>
      </x:c>
      <x:c r="L1117" s="2" t="str">
        <x:f>IF(ISNUMBER(K1117),IF(AND(K1117=1,I1117="No"),1,0),K1117)</x:f>
      </x:c>
      <x:c r="M1117" s="2" t="n">
        <x:f>IF(ISNUMBER(K1117),1,0)</x:f>
        <x:v>0</x:v>
      </x:c>
    </x:row>
    <x:row r="1118" ht="24" customHeight="1">
      <x:c r="A1118" s="2" t="str">
        <x:v>S08.01</x:v>
      </x:c>
      <x:c r="B1118" s="2" t="str">
        <x:v>S08</x:v>
      </x:c>
      <x:c r="C1118" s="2" t="str">
        <x:v>qwen_connected</x:v>
      </x:c>
      <x:c r="D1118" s="2" t="n">
        <x:v>3</x:v>
      </x:c>
      <x:c r="E1118" s="8"/>
      <x:c r="F1118" s="8"/>
      <x:c r="G1118" s="9"/>
      <x:c r="H1118" s="9"/>
      <x:c r="I1118" s="8"/>
      <x:c r="J1118" s="8"/>
      <x:c r="K1118" s="2" t="str">
        <x:f>IF(OR(E1118="",F1118="",G1118="",H1118="",I1118="",J1118=""),"",IF(E1118="Harness blocked","BLOCKED",IF(AND(E1118="Present",F1118="Supplied"),1,IF(OR(E1118="Missing",E1118="Not reached"),0,"CHECK"))))</x:f>
      </x:c>
      <x:c r="L1118" s="2" t="str">
        <x:f>IF(ISNUMBER(K1118),IF(AND(K1118=1,I1118="No"),1,0),K1118)</x:f>
      </x:c>
      <x:c r="M1118" s="2" t="n">
        <x:f>IF(ISNUMBER(K1118),1,0)</x:f>
        <x:v>0</x:v>
      </x:c>
    </x:row>
    <x:row r="1119" ht="24" customHeight="1">
      <x:c r="A1119" s="2" t="str">
        <x:v>S08.02</x:v>
      </x:c>
      <x:c r="B1119" s="2" t="str">
        <x:v>S08</x:v>
      </x:c>
      <x:c r="C1119" s="2" t="str">
        <x:v>qwen_connected</x:v>
      </x:c>
      <x:c r="D1119" s="2" t="n">
        <x:v>3</x:v>
      </x:c>
      <x:c r="E1119" s="8"/>
      <x:c r="F1119" s="8"/>
      <x:c r="G1119" s="9"/>
      <x:c r="H1119" s="9"/>
      <x:c r="I1119" s="8"/>
      <x:c r="J1119" s="8"/>
      <x:c r="K1119" s="2" t="str">
        <x:f>IF(OR(E1119="",F1119="",G1119="",H1119="",I1119="",J1119=""),"",IF(E1119="Harness blocked","BLOCKED",IF(AND(E1119="Present",F1119="Supplied"),1,IF(OR(E1119="Missing",E1119="Not reached"),0,"CHECK"))))</x:f>
      </x:c>
      <x:c r="L1119" s="2" t="str">
        <x:f>IF(ISNUMBER(K1119),IF(AND(K1119=1,I1119="No"),1,0),K1119)</x:f>
      </x:c>
      <x:c r="M1119" s="2" t="n">
        <x:f>IF(ISNUMBER(K1119),1,0)</x:f>
        <x:v>0</x:v>
      </x:c>
    </x:row>
    <x:row r="1120" ht="24" customHeight="1">
      <x:c r="A1120" s="2" t="str">
        <x:v>S08.03</x:v>
      </x:c>
      <x:c r="B1120" s="2" t="str">
        <x:v>S08</x:v>
      </x:c>
      <x:c r="C1120" s="2" t="str">
        <x:v>qwen_connected</x:v>
      </x:c>
      <x:c r="D1120" s="2" t="n">
        <x:v>3</x:v>
      </x:c>
      <x:c r="E1120" s="8"/>
      <x:c r="F1120" s="8"/>
      <x:c r="G1120" s="9"/>
      <x:c r="H1120" s="9"/>
      <x:c r="I1120" s="8"/>
      <x:c r="J1120" s="8"/>
      <x:c r="K1120" s="2" t="str">
        <x:f>IF(OR(E1120="",F1120="",G1120="",H1120="",I1120="",J1120=""),"",IF(E1120="Harness blocked","BLOCKED",IF(AND(E1120="Present",F1120="Supplied"),1,IF(OR(E1120="Missing",E1120="Not reached"),0,"CHECK"))))</x:f>
      </x:c>
      <x:c r="L1120" s="2" t="str">
        <x:f>IF(ISNUMBER(K1120),IF(AND(K1120=1,I1120="No"),1,0),K1120)</x:f>
      </x:c>
      <x:c r="M1120" s="2" t="n">
        <x:f>IF(ISNUMBER(K1120),1,0)</x:f>
        <x:v>0</x:v>
      </x:c>
    </x:row>
    <x:row r="1121" ht="24" customHeight="1">
      <x:c r="A1121" s="2" t="str">
        <x:v>S08.04</x:v>
      </x:c>
      <x:c r="B1121" s="2" t="str">
        <x:v>S08</x:v>
      </x:c>
      <x:c r="C1121" s="2" t="str">
        <x:v>qwen_connected</x:v>
      </x:c>
      <x:c r="D1121" s="2" t="n">
        <x:v>3</x:v>
      </x:c>
      <x:c r="E1121" s="8"/>
      <x:c r="F1121" s="8"/>
      <x:c r="G1121" s="9"/>
      <x:c r="H1121" s="9"/>
      <x:c r="I1121" s="8"/>
      <x:c r="J1121" s="8"/>
      <x:c r="K1121" s="2" t="str">
        <x:f>IF(OR(E1121="",F1121="",G1121="",H1121="",I1121="",J1121=""),"",IF(E1121="Harness blocked","BLOCKED",IF(AND(E1121="Present",F1121="Supplied"),1,IF(OR(E1121="Missing",E1121="Not reached"),0,"CHECK"))))</x:f>
      </x:c>
      <x:c r="L1121" s="2" t="str">
        <x:f>IF(ISNUMBER(K1121),IF(AND(K1121=1,I1121="No"),1,0),K1121)</x:f>
      </x:c>
      <x:c r="M1121" s="2" t="n">
        <x:f>IF(ISNUMBER(K1121),1,0)</x:f>
        <x:v>0</x:v>
      </x:c>
    </x:row>
    <x:row r="1122" ht="24" customHeight="1">
      <x:c r="A1122" s="2" t="str">
        <x:v>S08.05</x:v>
      </x:c>
      <x:c r="B1122" s="2" t="str">
        <x:v>S08</x:v>
      </x:c>
      <x:c r="C1122" s="2" t="str">
        <x:v>qwen_connected</x:v>
      </x:c>
      <x:c r="D1122" s="2" t="n">
        <x:v>3</x:v>
      </x:c>
      <x:c r="E1122" s="8"/>
      <x:c r="F1122" s="8"/>
      <x:c r="G1122" s="9"/>
      <x:c r="H1122" s="9"/>
      <x:c r="I1122" s="8"/>
      <x:c r="J1122" s="8"/>
      <x:c r="K1122" s="2" t="str">
        <x:f>IF(OR(E1122="",F1122="",G1122="",H1122="",I1122="",J1122=""),"",IF(E1122="Harness blocked","BLOCKED",IF(AND(E1122="Present",F1122="Supplied"),1,IF(OR(E1122="Missing",E1122="Not reached"),0,"CHECK"))))</x:f>
      </x:c>
      <x:c r="L1122" s="2" t="str">
        <x:f>IF(ISNUMBER(K1122),IF(AND(K1122=1,I1122="No"),1,0),K1122)</x:f>
      </x:c>
      <x:c r="M1122" s="2" t="n">
        <x:f>IF(ISNUMBER(K1122),1,0)</x:f>
        <x:v>0</x:v>
      </x:c>
    </x:row>
    <x:row r="1123" ht="24" customHeight="1">
      <x:c r="A1123" s="2" t="str">
        <x:v>S08.06</x:v>
      </x:c>
      <x:c r="B1123" s="2" t="str">
        <x:v>S08</x:v>
      </x:c>
      <x:c r="C1123" s="2" t="str">
        <x:v>qwen_connected</x:v>
      </x:c>
      <x:c r="D1123" s="2" t="n">
        <x:v>3</x:v>
      </x:c>
      <x:c r="E1123" s="8"/>
      <x:c r="F1123" s="8"/>
      <x:c r="G1123" s="9"/>
      <x:c r="H1123" s="9"/>
      <x:c r="I1123" s="8"/>
      <x:c r="J1123" s="8"/>
      <x:c r="K1123" s="2" t="str">
        <x:f>IF(OR(E1123="",F1123="",G1123="",H1123="",I1123="",J1123=""),"",IF(E1123="Harness blocked","BLOCKED",IF(AND(E1123="Present",F1123="Supplied"),1,IF(OR(E1123="Missing",E1123="Not reached"),0,"CHECK"))))</x:f>
      </x:c>
      <x:c r="L1123" s="2" t="str">
        <x:f>IF(ISNUMBER(K1123),IF(AND(K1123=1,I1123="No"),1,0),K1123)</x:f>
      </x:c>
      <x:c r="M1123" s="2" t="n">
        <x:f>IF(ISNUMBER(K1123),1,0)</x:f>
        <x:v>0</x:v>
      </x:c>
    </x:row>
    <x:row r="1124" ht="24" customHeight="1">
      <x:c r="A1124" s="2" t="str">
        <x:v>S08.07</x:v>
      </x:c>
      <x:c r="B1124" s="2" t="str">
        <x:v>S08</x:v>
      </x:c>
      <x:c r="C1124" s="2" t="str">
        <x:v>qwen_connected</x:v>
      </x:c>
      <x:c r="D1124" s="2" t="n">
        <x:v>3</x:v>
      </x:c>
      <x:c r="E1124" s="8"/>
      <x:c r="F1124" s="8"/>
      <x:c r="G1124" s="9"/>
      <x:c r="H1124" s="9"/>
      <x:c r="I1124" s="8"/>
      <x:c r="J1124" s="8"/>
      <x:c r="K1124" s="2" t="str">
        <x:f>IF(OR(E1124="",F1124="",G1124="",H1124="",I1124="",J1124=""),"",IF(E1124="Harness blocked","BLOCKED",IF(AND(E1124="Present",F1124="Supplied"),1,IF(OR(E1124="Missing",E1124="Not reached"),0,"CHECK"))))</x:f>
      </x:c>
      <x:c r="L1124" s="2" t="str">
        <x:f>IF(ISNUMBER(K1124),IF(AND(K1124=1,I1124="No"),1,0),K1124)</x:f>
      </x:c>
      <x:c r="M1124" s="2" t="n">
        <x:f>IF(ISNUMBER(K1124),1,0)</x:f>
        <x:v>0</x:v>
      </x:c>
    </x:row>
    <x:row r="1125" ht="24" customHeight="1">
      <x:c r="A1125" s="2" t="str">
        <x:v>S08.08</x:v>
      </x:c>
      <x:c r="B1125" s="2" t="str">
        <x:v>S08</x:v>
      </x:c>
      <x:c r="C1125" s="2" t="str">
        <x:v>qwen_connected</x:v>
      </x:c>
      <x:c r="D1125" s="2" t="n">
        <x:v>3</x:v>
      </x:c>
      <x:c r="E1125" s="8"/>
      <x:c r="F1125" s="8"/>
      <x:c r="G1125" s="9"/>
      <x:c r="H1125" s="9"/>
      <x:c r="I1125" s="8"/>
      <x:c r="J1125" s="8"/>
      <x:c r="K1125" s="2" t="str">
        <x:f>IF(OR(E1125="",F1125="",G1125="",H1125="",I1125="",J1125=""),"",IF(E1125="Harness blocked","BLOCKED",IF(AND(E1125="Present",F1125="Supplied"),1,IF(OR(E1125="Missing",E1125="Not reached"),0,"CHECK"))))</x:f>
      </x:c>
      <x:c r="L1125" s="2" t="str">
        <x:f>IF(ISNUMBER(K1125),IF(AND(K1125=1,I1125="No"),1,0),K1125)</x:f>
      </x:c>
      <x:c r="M1125" s="2" t="n">
        <x:f>IF(ISNUMBER(K1125),1,0)</x:f>
        <x:v>0</x:v>
      </x:c>
    </x:row>
    <x:row r="1126" ht="24" customHeight="1">
      <x:c r="A1126" s="2" t="str">
        <x:v>S09.01</x:v>
      </x:c>
      <x:c r="B1126" s="2" t="str">
        <x:v>S09</x:v>
      </x:c>
      <x:c r="C1126" s="2" t="str">
        <x:v>qwen_connected</x:v>
      </x:c>
      <x:c r="D1126" s="2" t="n">
        <x:v>3</x:v>
      </x:c>
      <x:c r="E1126" s="8"/>
      <x:c r="F1126" s="8"/>
      <x:c r="G1126" s="9"/>
      <x:c r="H1126" s="9"/>
      <x:c r="I1126" s="8"/>
      <x:c r="J1126" s="8"/>
      <x:c r="K1126" s="2" t="str">
        <x:f>IF(OR(E1126="",F1126="",G1126="",H1126="",I1126="",J1126=""),"",IF(E1126="Harness blocked","BLOCKED",IF(AND(E1126="Present",F1126="Supplied"),1,IF(OR(E1126="Missing",E1126="Not reached"),0,"CHECK"))))</x:f>
      </x:c>
      <x:c r="L1126" s="2" t="str">
        <x:f>IF(ISNUMBER(K1126),IF(AND(K1126=1,I1126="No"),1,0),K1126)</x:f>
      </x:c>
      <x:c r="M1126" s="2" t="n">
        <x:f>IF(ISNUMBER(K1126),1,0)</x:f>
        <x:v>0</x:v>
      </x:c>
    </x:row>
    <x:row r="1127" ht="24" customHeight="1">
      <x:c r="A1127" s="2" t="str">
        <x:v>S09.02</x:v>
      </x:c>
      <x:c r="B1127" s="2" t="str">
        <x:v>S09</x:v>
      </x:c>
      <x:c r="C1127" s="2" t="str">
        <x:v>qwen_connected</x:v>
      </x:c>
      <x:c r="D1127" s="2" t="n">
        <x:v>3</x:v>
      </x:c>
      <x:c r="E1127" s="8"/>
      <x:c r="F1127" s="8"/>
      <x:c r="G1127" s="9"/>
      <x:c r="H1127" s="9"/>
      <x:c r="I1127" s="8"/>
      <x:c r="J1127" s="8"/>
      <x:c r="K1127" s="2" t="str">
        <x:f>IF(OR(E1127="",F1127="",G1127="",H1127="",I1127="",J1127=""),"",IF(E1127="Harness blocked","BLOCKED",IF(AND(E1127="Present",F1127="Supplied"),1,IF(OR(E1127="Missing",E1127="Not reached"),0,"CHECK"))))</x:f>
      </x:c>
      <x:c r="L1127" s="2" t="str">
        <x:f>IF(ISNUMBER(K1127),IF(AND(K1127=1,I1127="No"),1,0),K1127)</x:f>
      </x:c>
      <x:c r="M1127" s="2" t="n">
        <x:f>IF(ISNUMBER(K1127),1,0)</x:f>
        <x:v>0</x:v>
      </x:c>
    </x:row>
    <x:row r="1128" ht="24" customHeight="1">
      <x:c r="A1128" s="2" t="str">
        <x:v>S09.03</x:v>
      </x:c>
      <x:c r="B1128" s="2" t="str">
        <x:v>S09</x:v>
      </x:c>
      <x:c r="C1128" s="2" t="str">
        <x:v>qwen_connected</x:v>
      </x:c>
      <x:c r="D1128" s="2" t="n">
        <x:v>3</x:v>
      </x:c>
      <x:c r="E1128" s="8"/>
      <x:c r="F1128" s="8"/>
      <x:c r="G1128" s="9"/>
      <x:c r="H1128" s="9"/>
      <x:c r="I1128" s="8"/>
      <x:c r="J1128" s="8"/>
      <x:c r="K1128" s="2" t="str">
        <x:f>IF(OR(E1128="",F1128="",G1128="",H1128="",I1128="",J1128=""),"",IF(E1128="Harness blocked","BLOCKED",IF(AND(E1128="Present",F1128="Supplied"),1,IF(OR(E1128="Missing",E1128="Not reached"),0,"CHECK"))))</x:f>
      </x:c>
      <x:c r="L1128" s="2" t="str">
        <x:f>IF(ISNUMBER(K1128),IF(AND(K1128=1,I1128="No"),1,0),K1128)</x:f>
      </x:c>
      <x:c r="M1128" s="2" t="n">
        <x:f>IF(ISNUMBER(K1128),1,0)</x:f>
        <x:v>0</x:v>
      </x:c>
    </x:row>
    <x:row r="1129" ht="24" customHeight="1">
      <x:c r="A1129" s="2" t="str">
        <x:v>S09.04</x:v>
      </x:c>
      <x:c r="B1129" s="2" t="str">
        <x:v>S09</x:v>
      </x:c>
      <x:c r="C1129" s="2" t="str">
        <x:v>qwen_connected</x:v>
      </x:c>
      <x:c r="D1129" s="2" t="n">
        <x:v>3</x:v>
      </x:c>
      <x:c r="E1129" s="8"/>
      <x:c r="F1129" s="8"/>
      <x:c r="G1129" s="9"/>
      <x:c r="H1129" s="9"/>
      <x:c r="I1129" s="8"/>
      <x:c r="J1129" s="8"/>
      <x:c r="K1129" s="2" t="str">
        <x:f>IF(OR(E1129="",F1129="",G1129="",H1129="",I1129="",J1129=""),"",IF(E1129="Harness blocked","BLOCKED",IF(AND(E1129="Present",F1129="Supplied"),1,IF(OR(E1129="Missing",E1129="Not reached"),0,"CHECK"))))</x:f>
      </x:c>
      <x:c r="L1129" s="2" t="str">
        <x:f>IF(ISNUMBER(K1129),IF(AND(K1129=1,I1129="No"),1,0),K1129)</x:f>
      </x:c>
      <x:c r="M1129" s="2" t="n">
        <x:f>IF(ISNUMBER(K1129),1,0)</x:f>
        <x:v>0</x:v>
      </x:c>
    </x:row>
    <x:row r="1130" ht="24" customHeight="1">
      <x:c r="A1130" s="2" t="str">
        <x:v>S09.05</x:v>
      </x:c>
      <x:c r="B1130" s="2" t="str">
        <x:v>S09</x:v>
      </x:c>
      <x:c r="C1130" s="2" t="str">
        <x:v>qwen_connected</x:v>
      </x:c>
      <x:c r="D1130" s="2" t="n">
        <x:v>3</x:v>
      </x:c>
      <x:c r="E1130" s="8"/>
      <x:c r="F1130" s="8"/>
      <x:c r="G1130" s="9"/>
      <x:c r="H1130" s="9"/>
      <x:c r="I1130" s="8"/>
      <x:c r="J1130" s="8"/>
      <x:c r="K1130" s="2" t="str">
        <x:f>IF(OR(E1130="",F1130="",G1130="",H1130="",I1130="",J1130=""),"",IF(E1130="Harness blocked","BLOCKED",IF(AND(E1130="Present",F1130="Supplied"),1,IF(OR(E1130="Missing",E1130="Not reached"),0,"CHECK"))))</x:f>
      </x:c>
      <x:c r="L1130" s="2" t="str">
        <x:f>IF(ISNUMBER(K1130),IF(AND(K1130=1,I1130="No"),1,0),K1130)</x:f>
      </x:c>
      <x:c r="M1130" s="2" t="n">
        <x:f>IF(ISNUMBER(K1130),1,0)</x:f>
        <x:v>0</x:v>
      </x:c>
    </x:row>
    <x:row r="1131" ht="24" customHeight="1">
      <x:c r="A1131" s="2" t="str">
        <x:v>S09.06</x:v>
      </x:c>
      <x:c r="B1131" s="2" t="str">
        <x:v>S09</x:v>
      </x:c>
      <x:c r="C1131" s="2" t="str">
        <x:v>qwen_connected</x:v>
      </x:c>
      <x:c r="D1131" s="2" t="n">
        <x:v>3</x:v>
      </x:c>
      <x:c r="E1131" s="8"/>
      <x:c r="F1131" s="8"/>
      <x:c r="G1131" s="9"/>
      <x:c r="H1131" s="9"/>
      <x:c r="I1131" s="8"/>
      <x:c r="J1131" s="8"/>
      <x:c r="K1131" s="2" t="str">
        <x:f>IF(OR(E1131="",F1131="",G1131="",H1131="",I1131="",J1131=""),"",IF(E1131="Harness blocked","BLOCKED",IF(AND(E1131="Present",F1131="Supplied"),1,IF(OR(E1131="Missing",E1131="Not reached"),0,"CHECK"))))</x:f>
      </x:c>
      <x:c r="L1131" s="2" t="str">
        <x:f>IF(ISNUMBER(K1131),IF(AND(K1131=1,I1131="No"),1,0),K1131)</x:f>
      </x:c>
      <x:c r="M1131" s="2" t="n">
        <x:f>IF(ISNUMBER(K1131),1,0)</x:f>
        <x:v>0</x:v>
      </x:c>
    </x:row>
    <x:row r="1132" ht="24" customHeight="1">
      <x:c r="A1132" s="2" t="str">
        <x:v>S09.07</x:v>
      </x:c>
      <x:c r="B1132" s="2" t="str">
        <x:v>S09</x:v>
      </x:c>
      <x:c r="C1132" s="2" t="str">
        <x:v>qwen_connected</x:v>
      </x:c>
      <x:c r="D1132" s="2" t="n">
        <x:v>3</x:v>
      </x:c>
      <x:c r="E1132" s="8"/>
      <x:c r="F1132" s="8"/>
      <x:c r="G1132" s="9"/>
      <x:c r="H1132" s="9"/>
      <x:c r="I1132" s="8"/>
      <x:c r="J1132" s="8"/>
      <x:c r="K1132" s="2" t="str">
        <x:f>IF(OR(E1132="",F1132="",G1132="",H1132="",I1132="",J1132=""),"",IF(E1132="Harness blocked","BLOCKED",IF(AND(E1132="Present",F1132="Supplied"),1,IF(OR(E1132="Missing",E1132="Not reached"),0,"CHECK"))))</x:f>
      </x:c>
      <x:c r="L1132" s="2" t="str">
        <x:f>IF(ISNUMBER(K1132),IF(AND(K1132=1,I1132="No"),1,0),K1132)</x:f>
      </x:c>
      <x:c r="M1132" s="2" t="n">
        <x:f>IF(ISNUMBER(K1132),1,0)</x:f>
        <x:v>0</x:v>
      </x:c>
    </x:row>
    <x:row r="1133" ht="24" customHeight="1">
      <x:c r="A1133" s="2" t="str">
        <x:v>S09.08</x:v>
      </x:c>
      <x:c r="B1133" s="2" t="str">
        <x:v>S09</x:v>
      </x:c>
      <x:c r="C1133" s="2" t="str">
        <x:v>qwen_connected</x:v>
      </x:c>
      <x:c r="D1133" s="2" t="n">
        <x:v>3</x:v>
      </x:c>
      <x:c r="E1133" s="8"/>
      <x:c r="F1133" s="8"/>
      <x:c r="G1133" s="9"/>
      <x:c r="H1133" s="9"/>
      <x:c r="I1133" s="8"/>
      <x:c r="J1133" s="8"/>
      <x:c r="K1133" s="2" t="str">
        <x:f>IF(OR(E1133="",F1133="",G1133="",H1133="",I1133="",J1133=""),"",IF(E1133="Harness blocked","BLOCKED",IF(AND(E1133="Present",F1133="Supplied"),1,IF(OR(E1133="Missing",E1133="Not reached"),0,"CHECK"))))</x:f>
      </x:c>
      <x:c r="L1133" s="2" t="str">
        <x:f>IF(ISNUMBER(K1133),IF(AND(K1133=1,I1133="No"),1,0),K1133)</x:f>
      </x:c>
      <x:c r="M1133" s="2" t="n">
        <x:f>IF(ISNUMBER(K1133),1,0)</x:f>
        <x:v>0</x:v>
      </x:c>
    </x:row>
    <x:row r="1134" ht="24" customHeight="1">
      <x:c r="A1134" s="2" t="str">
        <x:v>S10.01</x:v>
      </x:c>
      <x:c r="B1134" s="2" t="str">
        <x:v>S10</x:v>
      </x:c>
      <x:c r="C1134" s="2" t="str">
        <x:v>qwen_connected</x:v>
      </x:c>
      <x:c r="D1134" s="2" t="n">
        <x:v>3</x:v>
      </x:c>
      <x:c r="E1134" s="8"/>
      <x:c r="F1134" s="8"/>
      <x:c r="G1134" s="9"/>
      <x:c r="H1134" s="9"/>
      <x:c r="I1134" s="8"/>
      <x:c r="J1134" s="8"/>
      <x:c r="K1134" s="2" t="str">
        <x:f>IF(OR(E1134="",F1134="",G1134="",H1134="",I1134="",J1134=""),"",IF(E1134="Harness blocked","BLOCKED",IF(AND(E1134="Present",F1134="Supplied"),1,IF(OR(E1134="Missing",E1134="Not reached"),0,"CHECK"))))</x:f>
      </x:c>
      <x:c r="L1134" s="2" t="str">
        <x:f>IF(ISNUMBER(K1134),IF(AND(K1134=1,I1134="No"),1,0),K1134)</x:f>
      </x:c>
      <x:c r="M1134" s="2" t="n">
        <x:f>IF(ISNUMBER(K1134),1,0)</x:f>
        <x:v>0</x:v>
      </x:c>
    </x:row>
    <x:row r="1135" ht="24" customHeight="1">
      <x:c r="A1135" s="2" t="str">
        <x:v>S10.02</x:v>
      </x:c>
      <x:c r="B1135" s="2" t="str">
        <x:v>S10</x:v>
      </x:c>
      <x:c r="C1135" s="2" t="str">
        <x:v>qwen_connected</x:v>
      </x:c>
      <x:c r="D1135" s="2" t="n">
        <x:v>3</x:v>
      </x:c>
      <x:c r="E1135" s="8"/>
      <x:c r="F1135" s="8"/>
      <x:c r="G1135" s="9"/>
      <x:c r="H1135" s="9"/>
      <x:c r="I1135" s="8"/>
      <x:c r="J1135" s="8"/>
      <x:c r="K1135" s="2" t="str">
        <x:f>IF(OR(E1135="",F1135="",G1135="",H1135="",I1135="",J1135=""),"",IF(E1135="Harness blocked","BLOCKED",IF(AND(E1135="Present",F1135="Supplied"),1,IF(OR(E1135="Missing",E1135="Not reached"),0,"CHECK"))))</x:f>
      </x:c>
      <x:c r="L1135" s="2" t="str">
        <x:f>IF(ISNUMBER(K1135),IF(AND(K1135=1,I1135="No"),1,0),K1135)</x:f>
      </x:c>
      <x:c r="M1135" s="2" t="n">
        <x:f>IF(ISNUMBER(K1135),1,0)</x:f>
        <x:v>0</x:v>
      </x:c>
    </x:row>
    <x:row r="1136" ht="24" customHeight="1">
      <x:c r="A1136" s="2" t="str">
        <x:v>S10.03</x:v>
      </x:c>
      <x:c r="B1136" s="2" t="str">
        <x:v>S10</x:v>
      </x:c>
      <x:c r="C1136" s="2" t="str">
        <x:v>qwen_connected</x:v>
      </x:c>
      <x:c r="D1136" s="2" t="n">
        <x:v>3</x:v>
      </x:c>
      <x:c r="E1136" s="8"/>
      <x:c r="F1136" s="8"/>
      <x:c r="G1136" s="9"/>
      <x:c r="H1136" s="9"/>
      <x:c r="I1136" s="8"/>
      <x:c r="J1136" s="8"/>
      <x:c r="K1136" s="2" t="str">
        <x:f>IF(OR(E1136="",F1136="",G1136="",H1136="",I1136="",J1136=""),"",IF(E1136="Harness blocked","BLOCKED",IF(AND(E1136="Present",F1136="Supplied"),1,IF(OR(E1136="Missing",E1136="Not reached"),0,"CHECK"))))</x:f>
      </x:c>
      <x:c r="L1136" s="2" t="str">
        <x:f>IF(ISNUMBER(K1136),IF(AND(K1136=1,I1136="No"),1,0),K1136)</x:f>
      </x:c>
      <x:c r="M1136" s="2" t="n">
        <x:f>IF(ISNUMBER(K1136),1,0)</x:f>
        <x:v>0</x:v>
      </x:c>
    </x:row>
    <x:row r="1137" ht="24" customHeight="1">
      <x:c r="A1137" s="2" t="str">
        <x:v>S10.04</x:v>
      </x:c>
      <x:c r="B1137" s="2" t="str">
        <x:v>S10</x:v>
      </x:c>
      <x:c r="C1137" s="2" t="str">
        <x:v>qwen_connected</x:v>
      </x:c>
      <x:c r="D1137" s="2" t="n">
        <x:v>3</x:v>
      </x:c>
      <x:c r="E1137" s="8"/>
      <x:c r="F1137" s="8"/>
      <x:c r="G1137" s="9"/>
      <x:c r="H1137" s="9"/>
      <x:c r="I1137" s="8"/>
      <x:c r="J1137" s="8"/>
      <x:c r="K1137" s="2" t="str">
        <x:f>IF(OR(E1137="",F1137="",G1137="",H1137="",I1137="",J1137=""),"",IF(E1137="Harness blocked","BLOCKED",IF(AND(E1137="Present",F1137="Supplied"),1,IF(OR(E1137="Missing",E1137="Not reached"),0,"CHECK"))))</x:f>
      </x:c>
      <x:c r="L1137" s="2" t="str">
        <x:f>IF(ISNUMBER(K1137),IF(AND(K1137=1,I1137="No"),1,0),K1137)</x:f>
      </x:c>
      <x:c r="M1137" s="2" t="n">
        <x:f>IF(ISNUMBER(K1137),1,0)</x:f>
        <x:v>0</x:v>
      </x:c>
    </x:row>
    <x:row r="1138" ht="24" customHeight="1">
      <x:c r="A1138" s="2" t="str">
        <x:v>S10.05</x:v>
      </x:c>
      <x:c r="B1138" s="2" t="str">
        <x:v>S10</x:v>
      </x:c>
      <x:c r="C1138" s="2" t="str">
        <x:v>qwen_connected</x:v>
      </x:c>
      <x:c r="D1138" s="2" t="n">
        <x:v>3</x:v>
      </x:c>
      <x:c r="E1138" s="8"/>
      <x:c r="F1138" s="8"/>
      <x:c r="G1138" s="9"/>
      <x:c r="H1138" s="9"/>
      <x:c r="I1138" s="8"/>
      <x:c r="J1138" s="8"/>
      <x:c r="K1138" s="2" t="str">
        <x:f>IF(OR(E1138="",F1138="",G1138="",H1138="",I1138="",J1138=""),"",IF(E1138="Harness blocked","BLOCKED",IF(AND(E1138="Present",F1138="Supplied"),1,IF(OR(E1138="Missing",E1138="Not reached"),0,"CHECK"))))</x:f>
      </x:c>
      <x:c r="L1138" s="2" t="str">
        <x:f>IF(ISNUMBER(K1138),IF(AND(K1138=1,I1138="No"),1,0),K1138)</x:f>
      </x:c>
      <x:c r="M1138" s="2" t="n">
        <x:f>IF(ISNUMBER(K1138),1,0)</x:f>
        <x:v>0</x:v>
      </x:c>
    </x:row>
    <x:row r="1139" ht="24" customHeight="1">
      <x:c r="A1139" s="2" t="str">
        <x:v>S10.06</x:v>
      </x:c>
      <x:c r="B1139" s="2" t="str">
        <x:v>S10</x:v>
      </x:c>
      <x:c r="C1139" s="2" t="str">
        <x:v>qwen_connected</x:v>
      </x:c>
      <x:c r="D1139" s="2" t="n">
        <x:v>3</x:v>
      </x:c>
      <x:c r="E1139" s="8"/>
      <x:c r="F1139" s="8"/>
      <x:c r="G1139" s="9"/>
      <x:c r="H1139" s="9"/>
      <x:c r="I1139" s="8"/>
      <x:c r="J1139" s="8"/>
      <x:c r="K1139" s="2" t="str">
        <x:f>IF(OR(E1139="",F1139="",G1139="",H1139="",I1139="",J1139=""),"",IF(E1139="Harness blocked","BLOCKED",IF(AND(E1139="Present",F1139="Supplied"),1,IF(OR(E1139="Missing",E1139="Not reached"),0,"CHECK"))))</x:f>
      </x:c>
      <x:c r="L1139" s="2" t="str">
        <x:f>IF(ISNUMBER(K1139),IF(AND(K1139=1,I1139="No"),1,0),K1139)</x:f>
      </x:c>
      <x:c r="M1139" s="2" t="n">
        <x:f>IF(ISNUMBER(K1139),1,0)</x:f>
        <x:v>0</x:v>
      </x:c>
    </x:row>
    <x:row r="1140" ht="24" customHeight="1">
      <x:c r="A1140" s="2" t="str">
        <x:v>S10.07</x:v>
      </x:c>
      <x:c r="B1140" s="2" t="str">
        <x:v>S10</x:v>
      </x:c>
      <x:c r="C1140" s="2" t="str">
        <x:v>qwen_connected</x:v>
      </x:c>
      <x:c r="D1140" s="2" t="n">
        <x:v>3</x:v>
      </x:c>
      <x:c r="E1140" s="8"/>
      <x:c r="F1140" s="8"/>
      <x:c r="G1140" s="9"/>
      <x:c r="H1140" s="9"/>
      <x:c r="I1140" s="8"/>
      <x:c r="J1140" s="8"/>
      <x:c r="K1140" s="2" t="str">
        <x:f>IF(OR(E1140="",F1140="",G1140="",H1140="",I1140="",J1140=""),"",IF(E1140="Harness blocked","BLOCKED",IF(AND(E1140="Present",F1140="Supplied"),1,IF(OR(E1140="Missing",E1140="Not reached"),0,"CHECK"))))</x:f>
      </x:c>
      <x:c r="L1140" s="2" t="str">
        <x:f>IF(ISNUMBER(K1140),IF(AND(K1140=1,I1140="No"),1,0),K1140)</x:f>
      </x:c>
      <x:c r="M1140" s="2" t="n">
        <x:f>IF(ISNUMBER(K1140),1,0)</x:f>
        <x:v>0</x:v>
      </x:c>
    </x:row>
    <x:row r="1141" ht="24" customHeight="1">
      <x:c r="A1141" s="2" t="str">
        <x:v>S10.08</x:v>
      </x:c>
      <x:c r="B1141" s="2" t="str">
        <x:v>S10</x:v>
      </x:c>
      <x:c r="C1141" s="2" t="str">
        <x:v>qwen_connected</x:v>
      </x:c>
      <x:c r="D1141" s="2" t="n">
        <x:v>3</x:v>
      </x:c>
      <x:c r="E1141" s="8"/>
      <x:c r="F1141" s="8"/>
      <x:c r="G1141" s="9"/>
      <x:c r="H1141" s="9"/>
      <x:c r="I1141" s="8"/>
      <x:c r="J1141" s="8"/>
      <x:c r="K1141" s="2" t="str">
        <x:f>IF(OR(E1141="",F1141="",G1141="",H1141="",I1141="",J1141=""),"",IF(E1141="Harness blocked","BLOCKED",IF(AND(E1141="Present",F1141="Supplied"),1,IF(OR(E1141="Missing",E1141="Not reached"),0,"CHECK"))))</x:f>
      </x:c>
      <x:c r="L1141" s="2" t="str">
        <x:f>IF(ISNUMBER(K1141),IF(AND(K1141=1,I1141="No"),1,0),K1141)</x:f>
      </x:c>
      <x:c r="M1141" s="2" t="n">
        <x:f>IF(ISNUMBER(K1141),1,0)</x:f>
        <x:v>0</x:v>
      </x:c>
    </x:row>
    <x:row r="1142" ht="24" customHeight="1">
      <x:c r="A1142" s="2" t="str">
        <x:v>S11.01</x:v>
      </x:c>
      <x:c r="B1142" s="2" t="str">
        <x:v>S11</x:v>
      </x:c>
      <x:c r="C1142" s="2" t="str">
        <x:v>qwen_connected</x:v>
      </x:c>
      <x:c r="D1142" s="2" t="n">
        <x:v>3</x:v>
      </x:c>
      <x:c r="E1142" s="8"/>
      <x:c r="F1142" s="8"/>
      <x:c r="G1142" s="9"/>
      <x:c r="H1142" s="9"/>
      <x:c r="I1142" s="8"/>
      <x:c r="J1142" s="8"/>
      <x:c r="K1142" s="2" t="str">
        <x:f>IF(OR(E1142="",F1142="",G1142="",H1142="",I1142="",J1142=""),"",IF(E1142="Harness blocked","BLOCKED",IF(AND(E1142="Present",F1142="Supplied"),1,IF(OR(E1142="Missing",E1142="Not reached"),0,"CHECK"))))</x:f>
      </x:c>
      <x:c r="L1142" s="2" t="str">
        <x:f>IF(ISNUMBER(K1142),IF(AND(K1142=1,I1142="No"),1,0),K1142)</x:f>
      </x:c>
      <x:c r="M1142" s="2" t="n">
        <x:f>IF(ISNUMBER(K1142),1,0)</x:f>
        <x:v>0</x:v>
      </x:c>
    </x:row>
    <x:row r="1143" ht="24" customHeight="1">
      <x:c r="A1143" s="2" t="str">
        <x:v>S11.02</x:v>
      </x:c>
      <x:c r="B1143" s="2" t="str">
        <x:v>S11</x:v>
      </x:c>
      <x:c r="C1143" s="2" t="str">
        <x:v>qwen_connected</x:v>
      </x:c>
      <x:c r="D1143" s="2" t="n">
        <x:v>3</x:v>
      </x:c>
      <x:c r="E1143" s="8"/>
      <x:c r="F1143" s="8"/>
      <x:c r="G1143" s="9"/>
      <x:c r="H1143" s="9"/>
      <x:c r="I1143" s="8"/>
      <x:c r="J1143" s="8"/>
      <x:c r="K1143" s="2" t="str">
        <x:f>IF(OR(E1143="",F1143="",G1143="",H1143="",I1143="",J1143=""),"",IF(E1143="Harness blocked","BLOCKED",IF(AND(E1143="Present",F1143="Supplied"),1,IF(OR(E1143="Missing",E1143="Not reached"),0,"CHECK"))))</x:f>
      </x:c>
      <x:c r="L1143" s="2" t="str">
        <x:f>IF(ISNUMBER(K1143),IF(AND(K1143=1,I1143="No"),1,0),K1143)</x:f>
      </x:c>
      <x:c r="M1143" s="2" t="n">
        <x:f>IF(ISNUMBER(K1143),1,0)</x:f>
        <x:v>0</x:v>
      </x:c>
    </x:row>
    <x:row r="1144" ht="24" customHeight="1">
      <x:c r="A1144" s="2" t="str">
        <x:v>S11.03</x:v>
      </x:c>
      <x:c r="B1144" s="2" t="str">
        <x:v>S11</x:v>
      </x:c>
      <x:c r="C1144" s="2" t="str">
        <x:v>qwen_connected</x:v>
      </x:c>
      <x:c r="D1144" s="2" t="n">
        <x:v>3</x:v>
      </x:c>
      <x:c r="E1144" s="8"/>
      <x:c r="F1144" s="8"/>
      <x:c r="G1144" s="9"/>
      <x:c r="H1144" s="9"/>
      <x:c r="I1144" s="8"/>
      <x:c r="J1144" s="8"/>
      <x:c r="K1144" s="2" t="str">
        <x:f>IF(OR(E1144="",F1144="",G1144="",H1144="",I1144="",J1144=""),"",IF(E1144="Harness blocked","BLOCKED",IF(AND(E1144="Present",F1144="Supplied"),1,IF(OR(E1144="Missing",E1144="Not reached"),0,"CHECK"))))</x:f>
      </x:c>
      <x:c r="L1144" s="2" t="str">
        <x:f>IF(ISNUMBER(K1144),IF(AND(K1144=1,I1144="No"),1,0),K1144)</x:f>
      </x:c>
      <x:c r="M1144" s="2" t="n">
        <x:f>IF(ISNUMBER(K1144),1,0)</x:f>
        <x:v>0</x:v>
      </x:c>
    </x:row>
    <x:row r="1145" ht="24" customHeight="1">
      <x:c r="A1145" s="2" t="str">
        <x:v>S11.04</x:v>
      </x:c>
      <x:c r="B1145" s="2" t="str">
        <x:v>S11</x:v>
      </x:c>
      <x:c r="C1145" s="2" t="str">
        <x:v>qwen_connected</x:v>
      </x:c>
      <x:c r="D1145" s="2" t="n">
        <x:v>3</x:v>
      </x:c>
      <x:c r="E1145" s="8"/>
      <x:c r="F1145" s="8"/>
      <x:c r="G1145" s="9"/>
      <x:c r="H1145" s="9"/>
      <x:c r="I1145" s="8"/>
      <x:c r="J1145" s="8"/>
      <x:c r="K1145" s="2" t="str">
        <x:f>IF(OR(E1145="",F1145="",G1145="",H1145="",I1145="",J1145=""),"",IF(E1145="Harness blocked","BLOCKED",IF(AND(E1145="Present",F1145="Supplied"),1,IF(OR(E1145="Missing",E1145="Not reached"),0,"CHECK"))))</x:f>
      </x:c>
      <x:c r="L1145" s="2" t="str">
        <x:f>IF(ISNUMBER(K1145),IF(AND(K1145=1,I1145="No"),1,0),K1145)</x:f>
      </x:c>
      <x:c r="M1145" s="2" t="n">
        <x:f>IF(ISNUMBER(K1145),1,0)</x:f>
        <x:v>0</x:v>
      </x:c>
    </x:row>
    <x:row r="1146" ht="24" customHeight="1">
      <x:c r="A1146" s="2" t="str">
        <x:v>S11.05</x:v>
      </x:c>
      <x:c r="B1146" s="2" t="str">
        <x:v>S11</x:v>
      </x:c>
      <x:c r="C1146" s="2" t="str">
        <x:v>qwen_connected</x:v>
      </x:c>
      <x:c r="D1146" s="2" t="n">
        <x:v>3</x:v>
      </x:c>
      <x:c r="E1146" s="8"/>
      <x:c r="F1146" s="8"/>
      <x:c r="G1146" s="9"/>
      <x:c r="H1146" s="9"/>
      <x:c r="I1146" s="8"/>
      <x:c r="J1146" s="8"/>
      <x:c r="K1146" s="2" t="str">
        <x:f>IF(OR(E1146="",F1146="",G1146="",H1146="",I1146="",J1146=""),"",IF(E1146="Harness blocked","BLOCKED",IF(AND(E1146="Present",F1146="Supplied"),1,IF(OR(E1146="Missing",E1146="Not reached"),0,"CHECK"))))</x:f>
      </x:c>
      <x:c r="L1146" s="2" t="str">
        <x:f>IF(ISNUMBER(K1146),IF(AND(K1146=1,I1146="No"),1,0),K1146)</x:f>
      </x:c>
      <x:c r="M1146" s="2" t="n">
        <x:f>IF(ISNUMBER(K1146),1,0)</x:f>
        <x:v>0</x:v>
      </x:c>
    </x:row>
    <x:row r="1147" ht="24" customHeight="1">
      <x:c r="A1147" s="2" t="str">
        <x:v>S11.06</x:v>
      </x:c>
      <x:c r="B1147" s="2" t="str">
        <x:v>S11</x:v>
      </x:c>
      <x:c r="C1147" s="2" t="str">
        <x:v>qwen_connected</x:v>
      </x:c>
      <x:c r="D1147" s="2" t="n">
        <x:v>3</x:v>
      </x:c>
      <x:c r="E1147" s="8"/>
      <x:c r="F1147" s="8"/>
      <x:c r="G1147" s="9"/>
      <x:c r="H1147" s="9"/>
      <x:c r="I1147" s="8"/>
      <x:c r="J1147" s="8"/>
      <x:c r="K1147" s="2" t="str">
        <x:f>IF(OR(E1147="",F1147="",G1147="",H1147="",I1147="",J1147=""),"",IF(E1147="Harness blocked","BLOCKED",IF(AND(E1147="Present",F1147="Supplied"),1,IF(OR(E1147="Missing",E1147="Not reached"),0,"CHECK"))))</x:f>
      </x:c>
      <x:c r="L1147" s="2" t="str">
        <x:f>IF(ISNUMBER(K1147),IF(AND(K1147=1,I1147="No"),1,0),K1147)</x:f>
      </x:c>
      <x:c r="M1147" s="2" t="n">
        <x:f>IF(ISNUMBER(K1147),1,0)</x:f>
        <x:v>0</x:v>
      </x:c>
    </x:row>
    <x:row r="1148" ht="24" customHeight="1">
      <x:c r="A1148" s="2" t="str">
        <x:v>S11.07</x:v>
      </x:c>
      <x:c r="B1148" s="2" t="str">
        <x:v>S11</x:v>
      </x:c>
      <x:c r="C1148" s="2" t="str">
        <x:v>qwen_connected</x:v>
      </x:c>
      <x:c r="D1148" s="2" t="n">
        <x:v>3</x:v>
      </x:c>
      <x:c r="E1148" s="8"/>
      <x:c r="F1148" s="8"/>
      <x:c r="G1148" s="9"/>
      <x:c r="H1148" s="9"/>
      <x:c r="I1148" s="8"/>
      <x:c r="J1148" s="8"/>
      <x:c r="K1148" s="2" t="str">
        <x:f>IF(OR(E1148="",F1148="",G1148="",H1148="",I1148="",J1148=""),"",IF(E1148="Harness blocked","BLOCKED",IF(AND(E1148="Present",F1148="Supplied"),1,IF(OR(E1148="Missing",E1148="Not reached"),0,"CHECK"))))</x:f>
      </x:c>
      <x:c r="L1148" s="2" t="str">
        <x:f>IF(ISNUMBER(K1148),IF(AND(K1148=1,I1148="No"),1,0),K1148)</x:f>
      </x:c>
      <x:c r="M1148" s="2" t="n">
        <x:f>IF(ISNUMBER(K1148),1,0)</x:f>
        <x:v>0</x:v>
      </x:c>
    </x:row>
    <x:row r="1149" ht="24" customHeight="1">
      <x:c r="A1149" s="2" t="str">
        <x:v>S11.08</x:v>
      </x:c>
      <x:c r="B1149" s="2" t="str">
        <x:v>S11</x:v>
      </x:c>
      <x:c r="C1149" s="2" t="str">
        <x:v>qwen_connected</x:v>
      </x:c>
      <x:c r="D1149" s="2" t="n">
        <x:v>3</x:v>
      </x:c>
      <x:c r="E1149" s="8"/>
      <x:c r="F1149" s="8"/>
      <x:c r="G1149" s="9"/>
      <x:c r="H1149" s="9"/>
      <x:c r="I1149" s="8"/>
      <x:c r="J1149" s="8"/>
      <x:c r="K1149" s="2" t="str">
        <x:f>IF(OR(E1149="",F1149="",G1149="",H1149="",I1149="",J1149=""),"",IF(E1149="Harness blocked","BLOCKED",IF(AND(E1149="Present",F1149="Supplied"),1,IF(OR(E1149="Missing",E1149="Not reached"),0,"CHECK"))))</x:f>
      </x:c>
      <x:c r="L1149" s="2" t="str">
        <x:f>IF(ISNUMBER(K1149),IF(AND(K1149=1,I1149="No"),1,0),K1149)</x:f>
      </x:c>
      <x:c r="M1149" s="2" t="n">
        <x:f>IF(ISNUMBER(K1149),1,0)</x:f>
        <x:v>0</x:v>
      </x:c>
    </x:row>
    <x:row r="1150" ht="24" customHeight="1">
      <x:c r="A1150" s="2" t="str">
        <x:v>S12.01</x:v>
      </x:c>
      <x:c r="B1150" s="2" t="str">
        <x:v>S12</x:v>
      </x:c>
      <x:c r="C1150" s="2" t="str">
        <x:v>qwen_connected</x:v>
      </x:c>
      <x:c r="D1150" s="2" t="n">
        <x:v>3</x:v>
      </x:c>
      <x:c r="E1150" s="8"/>
      <x:c r="F1150" s="8"/>
      <x:c r="G1150" s="9"/>
      <x:c r="H1150" s="9"/>
      <x:c r="I1150" s="8"/>
      <x:c r="J1150" s="8"/>
      <x:c r="K1150" s="2" t="str">
        <x:f>IF(OR(E1150="",F1150="",G1150="",H1150="",I1150="",J1150=""),"",IF(E1150="Harness blocked","BLOCKED",IF(AND(E1150="Present",F1150="Supplied"),1,IF(OR(E1150="Missing",E1150="Not reached"),0,"CHECK"))))</x:f>
      </x:c>
      <x:c r="L1150" s="2" t="str">
        <x:f>IF(ISNUMBER(K1150),IF(AND(K1150=1,I1150="No"),1,0),K1150)</x:f>
      </x:c>
      <x:c r="M1150" s="2" t="n">
        <x:f>IF(ISNUMBER(K1150),1,0)</x:f>
        <x:v>0</x:v>
      </x:c>
    </x:row>
    <x:row r="1151" ht="24" customHeight="1">
      <x:c r="A1151" s="2" t="str">
        <x:v>S12.02</x:v>
      </x:c>
      <x:c r="B1151" s="2" t="str">
        <x:v>S12</x:v>
      </x:c>
      <x:c r="C1151" s="2" t="str">
        <x:v>qwen_connected</x:v>
      </x:c>
      <x:c r="D1151" s="2" t="n">
        <x:v>3</x:v>
      </x:c>
      <x:c r="E1151" s="8"/>
      <x:c r="F1151" s="8"/>
      <x:c r="G1151" s="9"/>
      <x:c r="H1151" s="9"/>
      <x:c r="I1151" s="8"/>
      <x:c r="J1151" s="8"/>
      <x:c r="K1151" s="2" t="str">
        <x:f>IF(OR(E1151="",F1151="",G1151="",H1151="",I1151="",J1151=""),"",IF(E1151="Harness blocked","BLOCKED",IF(AND(E1151="Present",F1151="Supplied"),1,IF(OR(E1151="Missing",E1151="Not reached"),0,"CHECK"))))</x:f>
      </x:c>
      <x:c r="L1151" s="2" t="str">
        <x:f>IF(ISNUMBER(K1151),IF(AND(K1151=1,I1151="No"),1,0),K1151)</x:f>
      </x:c>
      <x:c r="M1151" s="2" t="n">
        <x:f>IF(ISNUMBER(K1151),1,0)</x:f>
        <x:v>0</x:v>
      </x:c>
    </x:row>
    <x:row r="1152" ht="24" customHeight="1">
      <x:c r="A1152" s="2" t="str">
        <x:v>S12.03</x:v>
      </x:c>
      <x:c r="B1152" s="2" t="str">
        <x:v>S12</x:v>
      </x:c>
      <x:c r="C1152" s="2" t="str">
        <x:v>qwen_connected</x:v>
      </x:c>
      <x:c r="D1152" s="2" t="n">
        <x:v>3</x:v>
      </x:c>
      <x:c r="E1152" s="8"/>
      <x:c r="F1152" s="8"/>
      <x:c r="G1152" s="9"/>
      <x:c r="H1152" s="9"/>
      <x:c r="I1152" s="8"/>
      <x:c r="J1152" s="8"/>
      <x:c r="K1152" s="2" t="str">
        <x:f>IF(OR(E1152="",F1152="",G1152="",H1152="",I1152="",J1152=""),"",IF(E1152="Harness blocked","BLOCKED",IF(AND(E1152="Present",F1152="Supplied"),1,IF(OR(E1152="Missing",E1152="Not reached"),0,"CHECK"))))</x:f>
      </x:c>
      <x:c r="L1152" s="2" t="str">
        <x:f>IF(ISNUMBER(K1152),IF(AND(K1152=1,I1152="No"),1,0),K1152)</x:f>
      </x:c>
      <x:c r="M1152" s="2" t="n">
        <x:f>IF(ISNUMBER(K1152),1,0)</x:f>
        <x:v>0</x:v>
      </x:c>
    </x:row>
    <x:row r="1153" ht="24" customHeight="1">
      <x:c r="A1153" s="2" t="str">
        <x:v>S12.04</x:v>
      </x:c>
      <x:c r="B1153" s="2" t="str">
        <x:v>S12</x:v>
      </x:c>
      <x:c r="C1153" s="2" t="str">
        <x:v>qwen_connected</x:v>
      </x:c>
      <x:c r="D1153" s="2" t="n">
        <x:v>3</x:v>
      </x:c>
      <x:c r="E1153" s="8"/>
      <x:c r="F1153" s="8"/>
      <x:c r="G1153" s="9"/>
      <x:c r="H1153" s="9"/>
      <x:c r="I1153" s="8"/>
      <x:c r="J1153" s="8"/>
      <x:c r="K1153" s="2" t="str">
        <x:f>IF(OR(E1153="",F1153="",G1153="",H1153="",I1153="",J1153=""),"",IF(E1153="Harness blocked","BLOCKED",IF(AND(E1153="Present",F1153="Supplied"),1,IF(OR(E1153="Missing",E1153="Not reached"),0,"CHECK"))))</x:f>
      </x:c>
      <x:c r="L1153" s="2" t="str">
        <x:f>IF(ISNUMBER(K1153),IF(AND(K1153=1,I1153="No"),1,0),K1153)</x:f>
      </x:c>
      <x:c r="M1153" s="2" t="n">
        <x:f>IF(ISNUMBER(K1153),1,0)</x:f>
        <x:v>0</x:v>
      </x:c>
    </x:row>
    <x:row r="1154" ht="24" customHeight="1">
      <x:c r="A1154" s="2" t="str">
        <x:v>S12.05</x:v>
      </x:c>
      <x:c r="B1154" s="2" t="str">
        <x:v>S12</x:v>
      </x:c>
      <x:c r="C1154" s="2" t="str">
        <x:v>qwen_connected</x:v>
      </x:c>
      <x:c r="D1154" s="2" t="n">
        <x:v>3</x:v>
      </x:c>
      <x:c r="E1154" s="8"/>
      <x:c r="F1154" s="8"/>
      <x:c r="G1154" s="9"/>
      <x:c r="H1154" s="9"/>
      <x:c r="I1154" s="8"/>
      <x:c r="J1154" s="8"/>
      <x:c r="K1154" s="2" t="str">
        <x:f>IF(OR(E1154="",F1154="",G1154="",H1154="",I1154="",J1154=""),"",IF(E1154="Harness blocked","BLOCKED",IF(AND(E1154="Present",F1154="Supplied"),1,IF(OR(E1154="Missing",E1154="Not reached"),0,"CHECK"))))</x:f>
      </x:c>
      <x:c r="L1154" s="2" t="str">
        <x:f>IF(ISNUMBER(K1154),IF(AND(K1154=1,I1154="No"),1,0),K1154)</x:f>
      </x:c>
      <x:c r="M1154" s="2" t="n">
        <x:f>IF(ISNUMBER(K1154),1,0)</x:f>
        <x:v>0</x:v>
      </x:c>
    </x:row>
    <x:row r="1155" ht="24" customHeight="1">
      <x:c r="A1155" s="2" t="str">
        <x:v>S12.06</x:v>
      </x:c>
      <x:c r="B1155" s="2" t="str">
        <x:v>S12</x:v>
      </x:c>
      <x:c r="C1155" s="2" t="str">
        <x:v>qwen_connected</x:v>
      </x:c>
      <x:c r="D1155" s="2" t="n">
        <x:v>3</x:v>
      </x:c>
      <x:c r="E1155" s="8"/>
      <x:c r="F1155" s="8"/>
      <x:c r="G1155" s="9"/>
      <x:c r="H1155" s="9"/>
      <x:c r="I1155" s="8"/>
      <x:c r="J1155" s="8"/>
      <x:c r="K1155" s="2" t="str">
        <x:f>IF(OR(E1155="",F1155="",G1155="",H1155="",I1155="",J1155=""),"",IF(E1155="Harness blocked","BLOCKED",IF(AND(E1155="Present",F1155="Supplied"),1,IF(OR(E1155="Missing",E1155="Not reached"),0,"CHECK"))))</x:f>
      </x:c>
      <x:c r="L1155" s="2" t="str">
        <x:f>IF(ISNUMBER(K1155),IF(AND(K1155=1,I1155="No"),1,0),K1155)</x:f>
      </x:c>
      <x:c r="M1155" s="2" t="n">
        <x:f>IF(ISNUMBER(K1155),1,0)</x:f>
        <x:v>0</x:v>
      </x:c>
    </x:row>
    <x:row r="1156" ht="24" customHeight="1">
      <x:c r="A1156" s="2" t="str">
        <x:v>S12.07</x:v>
      </x:c>
      <x:c r="B1156" s="2" t="str">
        <x:v>S12</x:v>
      </x:c>
      <x:c r="C1156" s="2" t="str">
        <x:v>qwen_connected</x:v>
      </x:c>
      <x:c r="D1156" s="2" t="n">
        <x:v>3</x:v>
      </x:c>
      <x:c r="E1156" s="8"/>
      <x:c r="F1156" s="8"/>
      <x:c r="G1156" s="9"/>
      <x:c r="H1156" s="9"/>
      <x:c r="I1156" s="8"/>
      <x:c r="J1156" s="8"/>
      <x:c r="K1156" s="2" t="str">
        <x:f>IF(OR(E1156="",F1156="",G1156="",H1156="",I1156="",J1156=""),"",IF(E1156="Harness blocked","BLOCKED",IF(AND(E1156="Present",F1156="Supplied"),1,IF(OR(E1156="Missing",E1156="Not reached"),0,"CHECK"))))</x:f>
      </x:c>
      <x:c r="L1156" s="2" t="str">
        <x:f>IF(ISNUMBER(K1156),IF(AND(K1156=1,I1156="No"),1,0),K1156)</x:f>
      </x:c>
      <x:c r="M1156" s="2" t="n">
        <x:f>IF(ISNUMBER(K1156),1,0)</x:f>
        <x:v>0</x:v>
      </x:c>
    </x:row>
    <x:row r="1157" ht="24" customHeight="1">
      <x:c r="A1157" s="2" t="str">
        <x:v>S12.08</x:v>
      </x:c>
      <x:c r="B1157" s="2" t="str">
        <x:v>S12</x:v>
      </x:c>
      <x:c r="C1157" s="2" t="str">
        <x:v>qwen_connected</x:v>
      </x:c>
      <x:c r="D1157" s="2" t="n">
        <x:v>3</x:v>
      </x:c>
      <x:c r="E1157" s="8"/>
      <x:c r="F1157" s="8"/>
      <x:c r="G1157" s="9"/>
      <x:c r="H1157" s="9"/>
      <x:c r="I1157" s="8"/>
      <x:c r="J1157" s="8"/>
      <x:c r="K1157" s="2" t="str">
        <x:f>IF(OR(E1157="",F1157="",G1157="",H1157="",I1157="",J1157=""),"",IF(E1157="Harness blocked","BLOCKED",IF(AND(E1157="Present",F1157="Supplied"),1,IF(OR(E1157="Missing",E1157="Not reached"),0,"CHECK"))))</x:f>
      </x:c>
      <x:c r="L1157" s="2" t="str">
        <x:f>IF(ISNUMBER(K1157),IF(AND(K1157=1,I1157="No"),1,0),K1157)</x:f>
      </x:c>
      <x:c r="M1157" s="2" t="n">
        <x:f>IF(ISNUMBER(K1157),1,0)</x:f>
        <x:v>0</x:v>
      </x:c>
    </x:row>
  </x:sheetData>
  <x:conditionalFormatting sqref="K6:L1157">
    <x:cfRule type="containsText" dxfId="0" priority="1" operator="containsText" text="BLOCKED"/>
  </x:conditionalFormatting>
  <x:dataValidations count="4">
    <x:dataValidation type="list" sqref="E6:E1157">
      <x:formula1>"Present,Missing,Not reached,Harness blocked"</x:formula1>
    </x:dataValidation>
    <x:dataValidation type="list" sqref="F6:F1157">
      <x:formula1>"Supplied,Not obtained,Harness blocked"</x:formula1>
    </x:dataValidation>
    <x:dataValidation type="list" sqref="I6:I1157">
      <x:formula1>"No,Yes"</x:formula1>
    </x:dataValidation>
    <x:dataValidation type="list" sqref="J6:J1157">
      <x:formula1>"None,Interpretation,Acquisition,Composition,Retention,Routing,Harness,Transport,Resource,Unknown"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a13e692b764a9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68" hidden="0" customWidth="1"/>
    <x:col min="3" max="3" width="22" hidden="0" customWidth="1"/>
    <x:col min="4" max="4" width="65" hidden="0" customWidth="1"/>
    <x:col min="5" max="5" width="72" hidden="0" customWidth="1"/>
  </x:cols>
  <x:sheetData>
    <x:row r="1" ht="24" customHeight="1">
      <x:c r="A1" s="2"/>
      <x:c r="B1" s="2"/>
      <x:c r="C1" s="2"/>
      <x:c r="D1" s="2"/>
      <x:c r="E1" s="2"/>
    </x:row>
    <x:row r="2" ht="30" customHeight="1">
      <x:c r="A2" s="3" t="str">
        <x:v>R3 evidence package</x:v>
      </x:c>
      <x:c r="B2" s="2"/>
      <x:c r="C2" s="2"/>
      <x:c r="D2" s="2"/>
      <x:c r="E2" s="2"/>
    </x:row>
    <x:row r="3" ht="24" customHeight="1">
      <x:c r="A3" s="2" t="str">
        <x:v>17 unchanged synthetic surrounding records. Original chart and evaluator keys stay outside model inputs.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36" customHeight="1">
      <x:c r="A5" s="7" t="str">
        <x:v>ID</x:v>
      </x:c>
      <x:c r="B5" s="7" t="str">
        <x:v>Document</x:v>
      </x:c>
      <x:c r="C5" s="7" t="str">
        <x:v>Initial input</x:v>
      </x:c>
      <x:c r="D5" s="7" t="str">
        <x:v>Sections</x:v>
      </x:c>
      <x:c r="E5" s="7" t="str">
        <x:v>SHA-256</x:v>
      </x:c>
    </x:row>
    <x:row r="6" ht="48" customHeight="1">
      <x:c r="A6" s="2" t="str">
        <x:v>D01</x:v>
      </x:c>
      <x:c r="B6" s="10" t="str">
        <x:v>R3 delivery carrier beam - initial event notice</x:v>
      </x:c>
      <x:c r="C6" s="10" t="str">
        <x:v>Yes</x:v>
      </x:c>
      <x:c r="D6" s="10" t="str">
        <x:v>D01.S01; D01.S02; D01.S03</x:v>
      </x:c>
      <x:c r="E6" s="2" t="str">
        <x:v>53759dd496d5a7e5947107f8d637568b5bab00710a49dc48e29a261d1153f8dc</x:v>
      </x:c>
    </x:row>
    <x:row r="7" ht="48" customHeight="1">
      <x:c r="A7" s="2" t="str">
        <x:v>D02</x:v>
      </x:c>
      <x:c r="B7" s="10" t="str">
        <x:v>R3 raised assembly - functional system description</x:v>
      </x:c>
      <x:c r="C7" s="10" t="str">
        <x:v>Yes</x:v>
      </x:c>
      <x:c r="D7" s="10" t="str">
        <x:v>D02.S01; D02.S02; D02.S03; D02.S04; D02.S05; D02.S06</x:v>
      </x:c>
      <x:c r="E7" s="2" t="str">
        <x:v>daaeed974f852ed46f12610fd322023a30a57c38ecb84ab717a5120f6265c427</x:v>
      </x:c>
    </x:row>
    <x:row r="8" ht="48" customHeight="1">
      <x:c r="A8" s="2" t="str">
        <x:v>D03A</x:v>
      </x:c>
      <x:c r="B8" s="10" t="str">
        <x:v>R3 carrier and yoke - arrangement register</x:v>
      </x:c>
      <x:c r="C8" s="10" t="str">
        <x:v>Custodian-held</x:v>
      </x:c>
      <x:c r="D8" s="10" t="str">
        <x:v>D03A.S01; D03A.S02; D03A.S03</x:v>
      </x:c>
      <x:c r="E8" s="2" t="str">
        <x:v>88a163882baef5ce56ba602b8e18ec8800e97f7bdd572ebf927d65505cc0c009</x:v>
      </x:c>
    </x:row>
    <x:row r="9" ht="48" customHeight="1">
      <x:c r="A9" s="2" t="str">
        <x:v>D03C</x:v>
      </x:c>
      <x:c r="B9" s="10" t="str">
        <x:v>R3 carrier and yoke - maintenance arrangement register</x:v>
      </x:c>
      <x:c r="C9" s="10" t="str">
        <x:v>Custodian-held</x:v>
      </x:c>
      <x:c r="D9" s="10" t="str">
        <x:v>D03C.S01; D03C.S02; D03C.S03; D03C.S04</x:v>
      </x:c>
      <x:c r="E9" s="2" t="str">
        <x:v>42adb63a8c07f48094427da86e1b80baa5f3839bcc2f08e4087be8a239f2f1f5</x:v>
      </x:c>
    </x:row>
    <x:row r="10" ht="48" customHeight="1">
      <x:c r="A10" s="2" t="str">
        <x:v>D04</x:v>
      </x:c>
      <x:c r="B10" s="10" t="str">
        <x:v>Stripper-box changeout - task isolation package</x:v>
      </x:c>
      <x:c r="C10" s="10" t="str">
        <x:v>Yes</x:v>
      </x:c>
      <x:c r="D10" s="10" t="str">
        <x:v>D04.S01; D04.S02; D04.S03</x:v>
      </x:c>
      <x:c r="E10" s="2" t="str">
        <x:v>88899515e8033788ef9e1660a46aebc037b9d7460862c7948c0c9759e2efe5a7</x:v>
      </x:c>
    </x:row>
    <x:row r="11" ht="48" customHeight="1">
      <x:c r="A11" s="2" t="str">
        <x:v>D05</x:v>
      </x:c>
      <x:c r="B11" s="10" t="str">
        <x:v>WP-031 - configuration and isolation execution record</x:v>
      </x:c>
      <x:c r="C11" s="10" t="str">
        <x:v>Custodian-held</x:v>
      </x:c>
      <x:c r="D11" s="10" t="str">
        <x:v>D05.S01; D05.S02; D05.S03</x:v>
      </x:c>
      <x:c r="E11" s="2" t="str">
        <x:v>e9f50bba13a9c989c0e757cef2d330f442f6e3e4079b849782d56694c9f12404</x:v>
      </x:c>
    </x:row>
    <x:row r="12" ht="48" customHeight="1">
      <x:c r="A12" s="2" t="str">
        <x:v>D06A</x:v>
      </x:c>
      <x:c r="B12" s="10" t="str">
        <x:v>Witness account W-A - pit-side observation</x:v>
      </x:c>
      <x:c r="C12" s="10" t="str">
        <x:v>Custodian-held</x:v>
      </x:c>
      <x:c r="D12" s="10" t="str">
        <x:v>D06A.S01; D06A.S02; D06A.S03</x:v>
      </x:c>
      <x:c r="E12" s="2" t="str">
        <x:v>73726a937540e39ed9112582fdcd83ec6180b518984f63a8423891eae838bc90</x:v>
      </x:c>
    </x:row>
    <x:row r="13" ht="48" customHeight="1">
      <x:c r="A13" s="2" t="str">
        <x:v>D06B</x:v>
      </x:c>
      <x:c r="B13" s="10" t="str">
        <x:v>Witness account W-B - drive-side observation</x:v>
      </x:c>
      <x:c r="C13" s="10" t="str">
        <x:v>Custodian-held</x:v>
      </x:c>
      <x:c r="D13" s="10" t="str">
        <x:v>D06B.S01; D06B.S02; D06B.S03</x:v>
      </x:c>
      <x:c r="E13" s="2" t="str">
        <x:v>613665507581b9fa7b8ae6443a3f3c82f3f5d41d1e19a8f3805836a15b56216e</x:v>
      </x:c>
    </x:row>
    <x:row r="14" ht="48" customHeight="1">
      <x:c r="A14" s="2" t="str">
        <x:v>D07</x:v>
      </x:c>
      <x:c r="B14" s="10" t="str">
        <x:v>CAM-3 motion measurement and coverage report</x:v>
      </x:c>
      <x:c r="C14" s="10" t="str">
        <x:v>Custodian-held</x:v>
      </x:c>
      <x:c r="D14" s="10" t="str">
        <x:v>D07.S01; D07.S02; D07.S03; D07.S04</x:v>
      </x:c>
      <x:c r="E14" s="2" t="str">
        <x:v>a35d9552f9768f4cc3f1dbcf1c965d34fc893c41d8de8a9dcfc0d93ef06c2821</x:v>
      </x:c>
    </x:row>
    <x:row r="15" ht="48" customHeight="1">
      <x:c r="A15" s="2" t="str">
        <x:v>D08</x:v>
      </x:c>
      <x:c r="B15" s="10" t="str">
        <x:v>C17 boundary measurements - incident interval</x:v>
      </x:c>
      <x:c r="C15" s="10" t="str">
        <x:v>Custodian-held</x:v>
      </x:c>
      <x:c r="D15" s="10" t="str">
        <x:v>D08.S01; D08.S02; D08.S03; D08.S04</x:v>
      </x:c>
      <x:c r="E15" s="2" t="str">
        <x:v>cbc3875fe372ea68b60164147d0488727c21228b1d109335d3e5eef8fa1ae573</x:v>
      </x:c>
    </x:row>
    <x:row r="16" ht="48" customHeight="1">
      <x:c r="A16" s="2" t="str">
        <x:v>D09</x:v>
      </x:c>
      <x:c r="B16" s="10" t="str">
        <x:v>V17 removed-valve examination and bench test</x:v>
      </x:c>
      <x:c r="C16" s="10" t="str">
        <x:v>Custodian-held</x:v>
      </x:c>
      <x:c r="D16" s="10" t="str">
        <x:v>D09.S01; D09.S02; D09.S03</x:v>
      </x:c>
      <x:c r="E16" s="2" t="str">
        <x:v>865798db79be6752dad51ab08141471959259b7ca7843cafd2556080ebd223a8</x:v>
      </x:c>
    </x:row>
    <x:row r="17" ht="48" customHeight="1">
      <x:c r="A17" s="2" t="str">
        <x:v>D10</x:v>
      </x:c>
      <x:c r="B17" s="10" t="str">
        <x:v>CB-3/YK-3 clearance and engagement review</x:v>
      </x:c>
      <x:c r="C17" s="10" t="str">
        <x:v>Custodian-held</x:v>
      </x:c>
      <x:c r="D17" s="10" t="str">
        <x:v>D10.S01; D10.S02; D10.S03; D10.S04</x:v>
      </x:c>
      <x:c r="E17" s="2" t="str">
        <x:v>635fc7202e1e11d2c42735a6005908e43ea00a3ff697df80566834d7ee829028</x:v>
      </x:c>
    </x:row>
    <x:row r="18" ht="48" customHeight="1">
      <x:c r="A18" s="2" t="str">
        <x:v>D11</x:v>
      </x:c>
      <x:c r="B18" s="10" t="str">
        <x:v>V17 maintenance history and inspection policy extract</x:v>
      </x:c>
      <x:c r="C18" s="10" t="str">
        <x:v>Custodian-held</x:v>
      </x:c>
      <x:c r="D18" s="10" t="str">
        <x:v>D11.S01; D11.S02; D11.S03</x:v>
      </x:c>
      <x:c r="E18" s="2" t="str">
        <x:v>e8689f56cfa48fb2b211bf7b8e7ca1d4aa8de6ef27bc054bc532c0be02b83419</x:v>
      </x:c>
    </x:row>
    <x:row r="19" ht="48" customHeight="1">
      <x:c r="A19" s="2" t="str">
        <x:v>D12</x:v>
      </x:c>
      <x:c r="B19" s="10" t="str">
        <x:v>Investigation records desk - availability response</x:v>
      </x:c>
      <x:c r="C19" s="10" t="str">
        <x:v>Custodian-held</x:v>
      </x:c>
      <x:c r="D19" s="10" t="str">
        <x:v>D12.S01; D12.S02; D12.S03</x:v>
      </x:c>
      <x:c r="E19" s="2" t="str">
        <x:v>ad6efc31a7831ddd12f3b3e35cfe86895d8b9b41901828148963518c1f7dcf0b</x:v>
      </x:c>
    </x:row>
    <x:row r="20" ht="48" customHeight="1">
      <x:c r="A20" s="2" t="str">
        <x:v>D13</x:v>
      </x:c>
      <x:c r="B20" s="10" t="str">
        <x:v>R3 corrective-action proposal register</x:v>
      </x:c>
      <x:c r="C20" s="10" t="str">
        <x:v>Custodian-held</x:v>
      </x:c>
      <x:c r="D20" s="10" t="str">
        <x:v>D13.S01; D13.S02; D13.S03</x:v>
      </x:c>
      <x:c r="E20" s="2" t="str">
        <x:v>2419706ce0eead90babae90dd1f832409be0d74c607fd2a7c7e902f8285eef74</x:v>
      </x:c>
    </x:row>
    <x:row r="21" ht="48" customHeight="1">
      <x:c r="A21" s="2" t="str">
        <x:v>D14</x:v>
      </x:c>
      <x:c r="B21" s="10" t="str">
        <x:v>Recovered assembly - condition inspection</x:v>
      </x:c>
      <x:c r="C21" s="10" t="str">
        <x:v>Custodian-held</x:v>
      </x:c>
      <x:c r="D21" s="10" t="str">
        <x:v>D14.S01; D14.S02; D14.S03</x:v>
      </x:c>
      <x:c r="E21" s="2" t="str">
        <x:v>a60e65c9fa296a24e878d6d590b7a2d5dd8cbd7a4ca863b44f3c48cc60dd098a</x:v>
      </x:c>
    </x:row>
    <x:row r="22" ht="48" customHeight="1">
      <x:c r="A22" s="2" t="str">
        <x:v>D15</x:v>
      </x:c>
      <x:c r="B22" s="10" t="str">
        <x:v>Preliminary investigation note - unreviewed</x:v>
      </x:c>
      <x:c r="C22" s="10" t="str">
        <x:v>Yes</x:v>
      </x:c>
      <x:c r="D22" s="10" t="str">
        <x:v>D15.S01; D15.S02; D15.S03</x:v>
      </x:c>
      <x:c r="E22" s="2" t="str">
        <x:v>ebaba8e641fd5092ec5a05c215cb3787d5119caf81428809f486fb0c45c883dc</x:v>
      </x:c>
    </x:row>
  </x:sheetData>
  <x:pageMargins left="0.7" right="0.7" top="0.75" bottom="0.75" header="0.3" footer="0.3"/>
  <x:tableParts count="1">
    <x:tablePart xmlns:r="http://schemas.openxmlformats.org/officeDocument/2006/relationships" r:id="Rf4287742295f4af5"/>
  </x:tableParts>
</x:worksheet>
</file>